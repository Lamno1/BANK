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inhteQ2\"/>
    </mc:Choice>
  </mc:AlternateContent>
  <xr:revisionPtr revIDLastSave="0" documentId="13_ncr:1_{D24B3F76-5857-4570-A6B2-43CF2932D798}" xr6:coauthVersionLast="47" xr6:coauthVersionMax="47" xr10:uidLastSave="{00000000-0000-0000-0000-000000000000}"/>
  <bookViews>
    <workbookView xWindow="-108" yWindow="-108" windowWidth="23256" windowHeight="12456" tabRatio="605" xr2:uid="{9F0881FF-E7AE-4632-B04B-C8DA878EC8EC}"/>
  </bookViews>
  <sheets>
    <sheet name="Chỉ số điểm giao dịch của ngân " sheetId="1" r:id="rId1"/>
    <sheet name="dự phòng" sheetId="2" r:id="rId2"/>
    <sheet name="dự phòng số hóa" sheetId="3" r:id="rId3"/>
    <sheet name="Quyền sử dụng đất" sheetId="6" r:id="rId4"/>
    <sheet name="Phần mềm máy vi tính" sheetId="8" r:id="rId5"/>
  </sheets>
  <definedNames>
    <definedName name="ExternalData_1" localSheetId="4" hidden="1">'Phần mềm máy vi tính'!$A$1:$O$331</definedName>
    <definedName name="ExternalData_1" localSheetId="3" hidden="1">'Quyền sử dụng đất'!$A$1:$O$331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32" i="8" l="1"/>
  <c r="D2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J41" authorId="0" shapeId="0" xr:uid="{D25A665A-4442-423B-A10D-2CAA97C9EFF9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đã chọn BCTC năm 2020 so với 2019 để lấy</t>
        </r>
      </text>
    </comment>
    <comment ref="L41" authorId="0" shapeId="0" xr:uid="{17ECD6E4-C473-4D98-80E5-EE01BD918C6A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chọn chỉ sô BCTC năm 2022 so với năm 2021 để lấy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M134" authorId="0" shapeId="0" xr:uid="{BAD7F74A-E326-4240-936F-207B7948E6FD}">
      <text>
        <r>
          <rPr>
            <b/>
            <sz val="9"/>
            <color indexed="81"/>
            <rFont val="Tahoma"/>
            <charset val="1"/>
          </rPr>
          <t>giảm khác của nguyên giá là 10086, giảm khác của giá trị hao mòn lũy kế là 10086</t>
        </r>
      </text>
    </comment>
    <comment ref="J158" authorId="0" shapeId="0" xr:uid="{337A55A8-8043-4FFE-B47F-56FBE8CFC7D2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giá trị hao mòn lũy kế đã thanh lý trong năm là 590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C23" authorId="0" shapeId="0" xr:uid="{16D1F826-8D2E-4962-AD90-323AFEC29B52}">
      <text>
        <r>
          <rPr>
            <b/>
            <sz val="9"/>
            <color indexed="81"/>
            <rFont val="Tahoma"/>
            <charset val="1"/>
          </rPr>
          <t>Tên trong ACB là: Đầu tư xây dựng cơ bản hoàn thành</t>
        </r>
      </text>
    </comment>
    <comment ref="M134" authorId="0" shapeId="0" xr:uid="{EA97FD70-6505-4621-BA9F-AFA399B8E82D}">
      <text>
        <r>
          <rPr>
            <b/>
            <sz val="9"/>
            <color indexed="81"/>
            <rFont val="Tahoma"/>
            <charset val="1"/>
          </rPr>
          <t>giảm khác của nguyên giá là 10086, giảm khác của giá trị hao mòn lũy kế là 10086</t>
        </r>
      </text>
    </comment>
    <comment ref="A299" authorId="0" shapeId="0" xr:uid="{BBF7B1A8-A3F9-4D6F-A8C6-00568F16186F}">
      <text>
        <r>
          <rPr>
            <b/>
            <sz val="9"/>
            <color indexed="81"/>
            <rFont val="Tahoma"/>
            <charset val="1"/>
          </rPr>
          <t xml:space="preserve">Phần mềm máy vi tính thay thể bằng bản quyền và bằng sáng chế
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72B8CF6-BFDD-4F56-96CE-BAF0F6618CD2}" keepAlive="1" name="Query - Table3" description="Connection to the 'Table3' query in the workbook." type="5" refreshedVersion="8" background="1" saveData="1">
    <dbPr connection="Provider=Microsoft.Mashup.OleDb.1;Data Source=$Workbook$;Location=Table3;Extended Properties=&quot;&quot;" command="SELECT * FROM [Table3]"/>
  </connection>
  <connection id="2" xr16:uid="{AD768897-21D7-4999-972A-3A9381940FD3}" keepAlive="1" name="Query - Table3 (2)" description="Connection to the 'Table3 (2)' query in the workbook." type="5" refreshedVersion="8" background="1" saveData="1">
    <dbPr connection="Provider=Microsoft.Mashup.OleDb.1;Data Source=$Workbook$;Location=&quot;Table3 (2)&quot;;Extended Properties=&quot;&quot;" command="SELECT * FROM [Table3 (2)]"/>
  </connection>
</connections>
</file>

<file path=xl/sharedStrings.xml><?xml version="1.0" encoding="utf-8"?>
<sst xmlns="http://schemas.openxmlformats.org/spreadsheetml/2006/main" count="2586" uniqueCount="285">
  <si>
    <t>STT</t>
  </si>
  <si>
    <t>Mã</t>
  </si>
  <si>
    <t>Tên công ty</t>
  </si>
  <si>
    <t>Sàn</t>
  </si>
  <si>
    <t>Số lượng chi nhánh năm 2014</t>
  </si>
  <si>
    <t>Số lượng chi nhánh năm 2015</t>
  </si>
  <si>
    <t>Số lượng chi nhánh năm 2016</t>
  </si>
  <si>
    <t>Số lượng chi nhánh năm 2017</t>
  </si>
  <si>
    <t>Số lượng chi nhánh năm 2018</t>
  </si>
  <si>
    <t>Số lượng chi nhánh năm 2019</t>
  </si>
  <si>
    <t>Số lượng chi nhánh năm 2020</t>
  </si>
  <si>
    <t>Số lượng chi nhánh năm 2021</t>
  </si>
  <si>
    <t>Số lượng chi nhánh năm 2022</t>
  </si>
  <si>
    <t>Số lượng chi nhánh năm 2023</t>
  </si>
  <si>
    <t>Số lượng chi nhánh năm 2024</t>
  </si>
  <si>
    <t>Số lượng chi nhánh năm 2025 ở Việt Nam</t>
  </si>
  <si>
    <t>ACB</t>
  </si>
  <si>
    <t>HOSE</t>
  </si>
  <si>
    <t>AGRB</t>
  </si>
  <si>
    <t>Agribank</t>
  </si>
  <si>
    <t>OTC</t>
  </si>
  <si>
    <t>BOCHCM</t>
  </si>
  <si>
    <t>Bank of China TP. Hồ Chí Minh</t>
  </si>
  <si>
    <t>BOCOMM</t>
  </si>
  <si>
    <t>Bank of Communications TP. Hồ Chí Minh</t>
  </si>
  <si>
    <t>BIDCHCM</t>
  </si>
  <si>
    <t>BIDC Campuchia - CN Hồ Chí Minh</t>
  </si>
  <si>
    <t>BID</t>
  </si>
  <si>
    <t>BIDV</t>
  </si>
  <si>
    <t>EIB</t>
  </si>
  <si>
    <t>Eximbank</t>
  </si>
  <si>
    <t>GB</t>
  </si>
  <si>
    <t>GPBank</t>
  </si>
  <si>
    <t>HDB</t>
  </si>
  <si>
    <t>HDBank</t>
  </si>
  <si>
    <t>HSBCVN</t>
  </si>
  <si>
    <t>HSBC</t>
  </si>
  <si>
    <t>IVNB</t>
  </si>
  <si>
    <t>Indovina Bank</t>
  </si>
  <si>
    <t>KLB</t>
  </si>
  <si>
    <t>KienlongBank</t>
  </si>
  <si>
    <t>LPB</t>
  </si>
  <si>
    <t>LPBank</t>
  </si>
  <si>
    <t>MBB</t>
  </si>
  <si>
    <t>MBBank</t>
  </si>
  <si>
    <t>DCB</t>
  </si>
  <si>
    <t>MBV Bank</t>
  </si>
  <si>
    <t>MSB</t>
  </si>
  <si>
    <t>MSB Bank</t>
  </si>
  <si>
    <t>ABB</t>
  </si>
  <si>
    <t>Ngân hàng An Bình</t>
  </si>
  <si>
    <t>UPCoM</t>
  </si>
  <si>
    <t>ANZVL</t>
  </si>
  <si>
    <t>Ngân hàng ANZ Việt Nam</t>
  </si>
  <si>
    <t>BVB</t>
  </si>
  <si>
    <t>Ngân hàng Bản Việt - BVBank</t>
  </si>
  <si>
    <t>BAOVIETBAN</t>
  </si>
  <si>
    <t>Ngân hàng Bảo Việt</t>
  </si>
  <si>
    <t>BAB</t>
  </si>
  <si>
    <t>Ngân hàng Bắc Á</t>
  </si>
  <si>
    <t>HNX</t>
  </si>
  <si>
    <t>CITIBANKHN</t>
  </si>
  <si>
    <t>Ngân hàng Citibank Hà Nội</t>
  </si>
  <si>
    <t>CITIBANKHCM</t>
  </si>
  <si>
    <t>Ngân hàng Citibank Hồ Chí Minh</t>
  </si>
  <si>
    <t>NAB</t>
  </si>
  <si>
    <t>Ngân hàng Nam Á</t>
  </si>
  <si>
    <t>TB</t>
  </si>
  <si>
    <t>Ngân hàng Ngoại thương Công nghệ Số</t>
  </si>
  <si>
    <t>OCB</t>
  </si>
  <si>
    <t>Ngân hàng Phương Đông</t>
  </si>
  <si>
    <t>NVB</t>
  </si>
  <si>
    <t>Ngân hàng Quốc Dân</t>
  </si>
  <si>
    <t>SCB</t>
  </si>
  <si>
    <t>Ngân hàng SCB</t>
  </si>
  <si>
    <t>VAB</t>
  </si>
  <si>
    <t>Ngân hàng Việt Á</t>
  </si>
  <si>
    <t>VBSP</t>
  </si>
  <si>
    <t>NH Chính sách xã hội VN</t>
  </si>
  <si>
    <t>ICBC</t>
  </si>
  <si>
    <t>NH Công thương Trung Quốc - CN Hà Nội</t>
  </si>
  <si>
    <t>COOPB</t>
  </si>
  <si>
    <t>NH HTX Việt Nam (Co-opBank)</t>
  </si>
  <si>
    <t>VNDB</t>
  </si>
  <si>
    <t>NH Phát triển Việt Nam</t>
  </si>
  <si>
    <t>VIDPB</t>
  </si>
  <si>
    <t>NH Public Việt Nam</t>
  </si>
  <si>
    <t>STB</t>
  </si>
  <si>
    <t>NH Sài Gòn Tài Lộc (SACOMBANK)</t>
  </si>
  <si>
    <t>PGB</t>
  </si>
  <si>
    <t>PG Bank</t>
  </si>
  <si>
    <t>PCB</t>
  </si>
  <si>
    <t>PVcomBank</t>
  </si>
  <si>
    <t>SGB</t>
  </si>
  <si>
    <t>Sài Gòn Công thương</t>
  </si>
  <si>
    <t>SSB</t>
  </si>
  <si>
    <t>SeABank</t>
  </si>
  <si>
    <t>SHB</t>
  </si>
  <si>
    <t>SHBVN</t>
  </si>
  <si>
    <t>Shinhan Việt Nam</t>
  </si>
  <si>
    <t>TCB</t>
  </si>
  <si>
    <t>Techcombank</t>
  </si>
  <si>
    <t>TPB</t>
  </si>
  <si>
    <t>TPBank</t>
  </si>
  <si>
    <t>VIB</t>
  </si>
  <si>
    <t>VIBBank</t>
  </si>
  <si>
    <t>VBB</t>
  </si>
  <si>
    <t>VietBank</t>
  </si>
  <si>
    <t>VCB</t>
  </si>
  <si>
    <t>Vietcombank</t>
  </si>
  <si>
    <t>CTG</t>
  </si>
  <si>
    <t>VietinBank</t>
  </si>
  <si>
    <t>EAB</t>
  </si>
  <si>
    <t>Vikki Bank</t>
  </si>
  <si>
    <t>VPB</t>
  </si>
  <si>
    <t>VPBank</t>
  </si>
  <si>
    <t>Tăng trong năm 2025</t>
  </si>
  <si>
    <t>Tăng trong năm 2024</t>
  </si>
  <si>
    <t>Nguyên giá đầu kì 2025</t>
  </si>
  <si>
    <t>Nguyên giá đầu kì 2024</t>
  </si>
  <si>
    <t>Nguyên giá đầu kì 2023</t>
  </si>
  <si>
    <t>Nguyên giá đầu kì 2022</t>
  </si>
  <si>
    <t>Nguyên giá đầu kì 2021</t>
  </si>
  <si>
    <t>Nguyên giá đầu kì 2020</t>
  </si>
  <si>
    <t>Nguyên giá đầu kì 2019</t>
  </si>
  <si>
    <t>Nguyên giá đầu kì 2018</t>
  </si>
  <si>
    <t>Nguyên giá đầu kì 2017</t>
  </si>
  <si>
    <t>Nguyên giá đầu kì 2016</t>
  </si>
  <si>
    <t>Nguyên giá đầu kì 2015</t>
  </si>
  <si>
    <t>Nguyên giá đầu kì 2014</t>
  </si>
  <si>
    <t>Tăng trong năm 2023</t>
  </si>
  <si>
    <t>Tăng trong năm 2022</t>
  </si>
  <si>
    <t>Tăng trong năm 2021</t>
  </si>
  <si>
    <t>Tăng trong năm 2020</t>
  </si>
  <si>
    <t>Tăng trong năm 2019</t>
  </si>
  <si>
    <t>Tăng trong năm 2018</t>
  </si>
  <si>
    <t>Tăng trong năm 2017</t>
  </si>
  <si>
    <t>Tăng trong năm 2016</t>
  </si>
  <si>
    <t>Tăng trong năm 2015</t>
  </si>
  <si>
    <t>Tăng trong năm 2014</t>
  </si>
  <si>
    <t>Đầu tư XDCB hoàn thành năm 2025</t>
  </si>
  <si>
    <t>Đầu tư XDCB hoàn thành năm 2024</t>
  </si>
  <si>
    <t>Đầu tư XDCB hoàn thành năm 2023</t>
  </si>
  <si>
    <t>Đầu tư XDCB hoàn thành năm 2022</t>
  </si>
  <si>
    <t>Đầu tư XDCB hoàn thành năm 2021</t>
  </si>
  <si>
    <t>Đầu tư XDCB hoàn thành năm 2020</t>
  </si>
  <si>
    <t>Đầu tư XDCB hoàn thành năm 2019</t>
  </si>
  <si>
    <t>Đầu tư XDCB hoàn thành năm 2018</t>
  </si>
  <si>
    <t>Đầu tư XDCB hoàn thành năm 2017</t>
  </si>
  <si>
    <t>Đầu tư XDCB hoàn thành năm 2016</t>
  </si>
  <si>
    <t>Đầu tư XDCB hoàn thành năm 2015</t>
  </si>
  <si>
    <t>Đầu tư XDCB hoàn thành năm 2014</t>
  </si>
  <si>
    <t>Thanh lý năm 2025</t>
  </si>
  <si>
    <t>Thanh lý năm 2024</t>
  </si>
  <si>
    <t>Thanh lý năm 2023</t>
  </si>
  <si>
    <t>Thanh lý năm 2022</t>
  </si>
  <si>
    <t>Thanh lý năm 2021</t>
  </si>
  <si>
    <t>Thanh lý năm 2020</t>
  </si>
  <si>
    <t>Thanh lý năm 2019</t>
  </si>
  <si>
    <t>Thanh lý năm 2018</t>
  </si>
  <si>
    <t>Thanh lý năm 2017</t>
  </si>
  <si>
    <t>Thanh lý năm 2016</t>
  </si>
  <si>
    <t>Thanh lý năm 2015</t>
  </si>
  <si>
    <t>Thanh lý năm 2014</t>
  </si>
  <si>
    <t>Nguyên giá cuối kì 2025</t>
  </si>
  <si>
    <t>Nguyên giá cuối kì 2024</t>
  </si>
  <si>
    <t>Nguyên giá cuối kì 2023</t>
  </si>
  <si>
    <t>Nguyên giá cuối kì 2022</t>
  </si>
  <si>
    <t>Nguyên giá cuối kì 2021</t>
  </si>
  <si>
    <t>Nguyên giá cuối kì 2020</t>
  </si>
  <si>
    <t>Nguyên giá cuối kì 2019</t>
  </si>
  <si>
    <t>Nguyên giá cuối kì 2018</t>
  </si>
  <si>
    <t>Nguyên giá cuối kì 2017</t>
  </si>
  <si>
    <t>Nguyên giá cuối kì 2016</t>
  </si>
  <si>
    <t>Nguyên giá cuối kì 2015</t>
  </si>
  <si>
    <t>Nguyên giá cuối kì 2014</t>
  </si>
  <si>
    <t>Hao mòn lũy kế đầu kì năm 2025</t>
  </si>
  <si>
    <t>Hao mòn lũy kế đầu kì năm 2024</t>
  </si>
  <si>
    <t>Hao mòn lũy kế đầu kì năm 2023</t>
  </si>
  <si>
    <t>Hao mòn lũy kế đầu kì năm 2022</t>
  </si>
  <si>
    <t>Hao mòn lũy kế đầu kì năm 2021</t>
  </si>
  <si>
    <t>Hao mòn lũy kế đầu kì năm 2020</t>
  </si>
  <si>
    <t>Hao mòn lũy kế đầu kì năm 2019</t>
  </si>
  <si>
    <t>Hao mòn lũy kế đầu kì năm 2018</t>
  </si>
  <si>
    <t>Hao mòn lũy kế đầu kì năm 2017</t>
  </si>
  <si>
    <t>Hao mòn lũy kế đầu kì năm 2016</t>
  </si>
  <si>
    <t>Hao mòn lũy kế đầu kì năm 2015</t>
  </si>
  <si>
    <t>Hao mòn lũy kế đầu kì năm 2014</t>
  </si>
  <si>
    <t>Khấu hao trong năm 2025</t>
  </si>
  <si>
    <t>Khấu hao trong năm 2024</t>
  </si>
  <si>
    <t>Khấu hao trong năm 2023</t>
  </si>
  <si>
    <t>Khấu hao trong năm 2022</t>
  </si>
  <si>
    <t>Khấu hao trong năm 2021</t>
  </si>
  <si>
    <t>Khấu hao trong năm 2020</t>
  </si>
  <si>
    <t>Khấu hao trong năm 2019</t>
  </si>
  <si>
    <t>Khấu hao trong năm 2018</t>
  </si>
  <si>
    <t>Khấu hao trong năm 2017</t>
  </si>
  <si>
    <t>Khấu hao trong năm 2016</t>
  </si>
  <si>
    <t>Khấu hao trong năm 2015</t>
  </si>
  <si>
    <t>Khấu hao trong năm 2014</t>
  </si>
  <si>
    <t>Hao mòn lũy kế cuối kỳ năm 2025</t>
  </si>
  <si>
    <t>Hao mòn lũy kế cuối kỳ năm 2024</t>
  </si>
  <si>
    <t>Hao mòn lũy kế cuối kỳ năm 2023</t>
  </si>
  <si>
    <t>Hao mòn lũy kế cuối kỳ năm 2022</t>
  </si>
  <si>
    <t>Hao mòn lũy kế cuối kỳ năm 2021</t>
  </si>
  <si>
    <t>Hao mòn lũy kế cuối kỳ năm 2020</t>
  </si>
  <si>
    <t>Hao mòn lũy kế cuối kỳ năm 2019</t>
  </si>
  <si>
    <t>Hao mòn lũy kế cuối kỳ năm 2018</t>
  </si>
  <si>
    <t>Hao mòn lũy kế cuối kỳ năm 2017</t>
  </si>
  <si>
    <t>Hao mòn lũy kế cuối kỳ năm 2016</t>
  </si>
  <si>
    <t>Hao mòn lũy kế cuối kỳ năm 2015</t>
  </si>
  <si>
    <t>Hao mòn lũy kế cuối kỳ năm 2014</t>
  </si>
  <si>
    <t>giá trị còn lại đầu kỳ năm 2025</t>
  </si>
  <si>
    <t>giá trị còn lại đầu kỳ năm 2024</t>
  </si>
  <si>
    <t>giá trị còn lại đầu kỳ năm 2023</t>
  </si>
  <si>
    <t>giá trị còn lại đầu kỳ năm 2022</t>
  </si>
  <si>
    <t>giá trị còn lại đầu kỳ năm 2021</t>
  </si>
  <si>
    <t>giá trị còn lại đầu kỳ năm 2020</t>
  </si>
  <si>
    <t>giá trị còn lại đầu kỳ năm 2019</t>
  </si>
  <si>
    <t>giá trị còn lại đầu kỳ năm 2018</t>
  </si>
  <si>
    <t>giá trị còn lại đầu kỳ năm 2017</t>
  </si>
  <si>
    <t>giá trị còn lại đầu kỳ năm 2016</t>
  </si>
  <si>
    <t>giá trị còn lại đầu kỳ năm 2015</t>
  </si>
  <si>
    <t>giá trị còn lại đầu kỳ năm 2014</t>
  </si>
  <si>
    <t>giá trị còn lại cuối kỳ năm 2025</t>
  </si>
  <si>
    <t>giá trị còn lại cuối kỳ năm 2024</t>
  </si>
  <si>
    <t>giá trị còn lại cuối kỳ năm 2023</t>
  </si>
  <si>
    <t>giá trị còn lại cuối kỳ năm 2022</t>
  </si>
  <si>
    <t>giá trị còn lại cuối kỳ năm 2021</t>
  </si>
  <si>
    <t>giá trị còn lại cuối kỳ năm 2020</t>
  </si>
  <si>
    <t>giá trị còn lại cuối kỳ năm 2019</t>
  </si>
  <si>
    <t>giá trị còn lại cuối kỳ năm 2018</t>
  </si>
  <si>
    <t>giá trị còn lại cuối kỳ năm 2017</t>
  </si>
  <si>
    <t>giá trị còn lại cuối kỳ năm 2016</t>
  </si>
  <si>
    <t>giá trị còn lại cuối kỳ năm 2015</t>
  </si>
  <si>
    <t>giá trị còn lại cuối kỳ năm 2014</t>
  </si>
  <si>
    <t>Nguyên giá TSCD vô hình đã khấu hao hết nhưng vẫn còn sử dụng năm 2025</t>
  </si>
  <si>
    <t>Nguyên giá TSCD vô hình đã khấu hao hết nhưng vẫn còn sử dụng năm 2024</t>
  </si>
  <si>
    <t>Nguyên giá TSCD vô hình đã khấu hao hết nhưng vẫn còn sử dụng năm 2023</t>
  </si>
  <si>
    <t>Nguyên giá TSCD vô hình đã khấu hao hết nhưng vẫn còn sử dụng năm 2022</t>
  </si>
  <si>
    <t>Nguyên giá TSCD vô hình đã khấu hao hết nhưng vẫn còn sử dụng năm 2021</t>
  </si>
  <si>
    <t>Nguyên giá TSCD vô hình đã khấu hao hết nhưng vẫn còn sử dụng năm 2020</t>
  </si>
  <si>
    <t>Nguyên giá TSCD vô hình đã khấu hao hết nhưng vẫn còn sử dụng năm 2019</t>
  </si>
  <si>
    <t>Nguyên giá TSCD vô hình đã khấu hao hết nhưng vẫn còn sử dụng năm 2018</t>
  </si>
  <si>
    <t>Nguyên giá TSCD vô hình đã khấu hao hết nhưng vẫn còn sử dụng năm 2017</t>
  </si>
  <si>
    <t>Nguyên giá TSCD vô hình đã khấu hao hết nhưng vẫn còn sử dụng năm 2016</t>
  </si>
  <si>
    <t>Nguyên giá TSCD vô hình đã khấu hao hết nhưng vẫn còn sử dụng năm 2015</t>
  </si>
  <si>
    <t>Nguyên giá TSCD vô hình đã khấu hao hết nhưng vẫn còn sử dụng năm 2014</t>
  </si>
  <si>
    <t>Thanh lý năm 20252</t>
  </si>
  <si>
    <t>Thanh lý năm 20243</t>
  </si>
  <si>
    <t>Thanh lý năm 20234</t>
  </si>
  <si>
    <t>Thanh lý năm 20225</t>
  </si>
  <si>
    <t>Thanh lý năm 20216</t>
  </si>
  <si>
    <t>Thanh lý năm 20207</t>
  </si>
  <si>
    <t>Thanh lý năm 20198</t>
  </si>
  <si>
    <t>Thanh lý năm 20189</t>
  </si>
  <si>
    <t>Thanh lý năm 201710</t>
  </si>
  <si>
    <t>Thanh lý năm 201611</t>
  </si>
  <si>
    <t>Thanh lý năm 201512</t>
  </si>
  <si>
    <t>Thanh lý năm 201413</t>
  </si>
  <si>
    <t>Attribute.1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</si>
  <si>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</si>
  <si>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</si>
  <si>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</si>
  <si>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</si>
  <si>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</si>
  <si>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</si>
  <si>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</si>
  <si>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</si>
  <si>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</si>
  <si>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</si>
  <si>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</si>
  <si>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</si>
  <si>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 xml:space="preserve">Khấu hao trong năm </t>
  </si>
  <si>
    <t xml:space="preserve">Nguyên giá cuối kì </t>
  </si>
  <si>
    <t xml:space="preserve">Nguyên giá đầu kì </t>
  </si>
  <si>
    <t xml:space="preserve">Tăng trong năm </t>
  </si>
  <si>
    <t xml:space="preserve">Thanh lý </t>
  </si>
  <si>
    <t xml:space="preserve">Hao mòn lũy kế cuối kỳ </t>
  </si>
  <si>
    <t xml:space="preserve">Hao mòn lũy kế đầu kỳ </t>
  </si>
  <si>
    <t xml:space="preserve">giá trị còn lại đầu kỳ  </t>
  </si>
  <si>
    <t xml:space="preserve">giá trị còn lại cuối kỳ  </t>
  </si>
  <si>
    <t xml:space="preserve">Nguyên giá TSCD vô hình đã khấu hao hết nhưng vẫn còn sử dụng </t>
  </si>
  <si>
    <t>Total</t>
  </si>
  <si>
    <t xml:space="preserve">Chuyển từ xây dựng cơ bản dở dang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</si>
</sst>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vertical="center" wrapText="1"/>
    </xf>
    <xf numFmtId="3" fontId="0" fillId="0" borderId="1" xfId="0" applyNumberFormat="1" applyBorder="1"/>
    <xf numFmtId="0" fontId="0" fillId="0" borderId="1" xfId="0" applyBorder="1"/>
    <xf numFmtId="0" fontId="0" fillId="0" borderId="2" xfId="0" applyBorder="1"/>
    <xf numFmtId="0" fontId="1" fillId="2" borderId="3" xfId="0" applyFont="1" applyFill="1" applyBorder="1" applyAlignment="1">
      <alignment vertical="center" wrapText="1"/>
    </xf>
    <xf numFmtId="0" fontId="0" fillId="0" borderId="4" xfId="0" applyBorder="1"/>
    <xf numFmtId="0" fontId="0" fillId="0" borderId="6" xfId="0" applyBorder="1"/>
    <xf numFmtId="0" fontId="0" fillId="0" borderId="3" xfId="0" applyBorder="1"/>
    <xf numFmtId="0" fontId="0" fillId="0" borderId="7" xfId="0" applyBorder="1"/>
    <xf numFmtId="0" fontId="1" fillId="2" borderId="8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0" fillId="0" borderId="10" xfId="0" applyBorder="1"/>
    <xf numFmtId="0" fontId="0" fillId="0" borderId="11" xfId="0" applyBorder="1"/>
    <xf numFmtId="3" fontId="0" fillId="0" borderId="0" xfId="0" applyNumberFormat="1"/>
    <xf numFmtId="0" fontId="0" fillId="0" borderId="1" xfId="0" applyBorder="1" applyAlignment="1">
      <alignment vertical="center" wrapText="1"/>
    </xf>
    <xf numFmtId="0" fontId="0" fillId="0" borderId="2" xfId="0" applyFill="1" applyBorder="1"/>
  </cellXfs>
  <cellStyles count="1">
    <cellStyle name="Normal" xfId="0" builtinId="0"/>
  </cellStyles>
  <dxfs count="15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1" defaultTableStyle="TableStyleMedium2" defaultPivotStyle="PivotStyleLight16">
    <tableStyle name="Invisible" pivot="0" table="0" count="0" xr9:uid="{2695B23C-30D4-491A-B058-B2E47E7C856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442302D-9EEA-4620-9DBD-46CCA6F43A79}" autoFormatId="16" applyNumberFormats="0" applyBorderFormats="0" applyFontFormats="0" applyPatternFormats="0" applyAlignmentFormats="0" applyWidthHeightFormats="0">
  <queryTableRefresh nextId="28">
    <queryTableFields count="15">
      <queryTableField id="1" name="Mã" tableColumnId="1"/>
      <queryTableField id="2" name="Tên công ty" tableColumnId="2"/>
      <queryTableField id="3" name="Attribute.1" tableColumnId="3"/>
      <queryTableField id="4" name="2025" tableColumnId="4"/>
      <queryTableField id="5" name="2024" tableColumnId="5"/>
      <queryTableField id="6" name="2023" tableColumnId="6"/>
      <queryTableField id="7" name="2022" tableColumnId="7"/>
      <queryTableField id="8" name="2021" tableColumnId="8"/>
      <queryTableField id="9" name="2020" tableColumnId="9"/>
      <queryTableField id="10" name="2019" tableColumnId="10"/>
      <queryTableField id="11" name="2018" tableColumnId="11"/>
      <queryTableField id="12" name="2017" tableColumnId="12"/>
      <queryTableField id="13" name="2016" tableColumnId="13"/>
      <queryTableField id="14" name="2015" tableColumnId="14"/>
      <queryTableField id="15" name="2014" tableColumnId="15"/>
    </queryTableFields>
    <queryTableDeletedFields count="12">
      <deletedField name="20252"/>
      <deletedField name="20243"/>
      <deletedField name="20234"/>
      <deletedField name="20225"/>
      <deletedField name="20216"/>
      <deletedField name="20207"/>
      <deletedField name="20198"/>
      <deletedField name="20189"/>
      <deletedField name="201710"/>
      <deletedField name="201611"/>
      <deletedField name="201512"/>
      <deletedField name="201413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2B9F5F26-FB8D-4E1E-9180-1AC675908DBB}" autoFormatId="16" applyNumberFormats="0" applyBorderFormats="0" applyFontFormats="0" applyPatternFormats="0" applyAlignmentFormats="0" applyWidthHeightFormats="0">
  <queryTableRefresh nextId="28">
    <queryTableFields count="15">
      <queryTableField id="1" name="Mã" tableColumnId="1"/>
      <queryTableField id="2" name="Tên công ty" tableColumnId="2"/>
      <queryTableField id="3" name="Attribute.1" tableColumnId="3"/>
      <queryTableField id="4" name="2025" tableColumnId="4"/>
      <queryTableField id="5" name="2024" tableColumnId="5"/>
      <queryTableField id="6" name="2023" tableColumnId="6"/>
      <queryTableField id="7" name="2022" tableColumnId="7"/>
      <queryTableField id="8" name="2021" tableColumnId="8"/>
      <queryTableField id="9" name="2020" tableColumnId="9"/>
      <queryTableField id="10" name="2019" tableColumnId="10"/>
      <queryTableField id="11" name="2018" tableColumnId="11"/>
      <queryTableField id="12" name="2017" tableColumnId="12"/>
      <queryTableField id="13" name="2016" tableColumnId="13"/>
      <queryTableField id="14" name="2015" tableColumnId="14"/>
      <queryTableField id="15" name="2014" tableColumnId="15"/>
    </queryTableFields>
    <queryTableDeletedFields count="12">
      <deletedField name="20252"/>
      <deletedField name="20243"/>
      <deletedField name="20234"/>
      <deletedField name="20225"/>
      <deletedField name="20216"/>
      <deletedField name="20207"/>
      <deletedField name="20198"/>
      <deletedField name="20189"/>
      <deletedField name="201710"/>
      <deletedField name="201611"/>
      <deletedField name="201512"/>
      <deletedField name="201413"/>
    </queryTableDeleted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FDDE6E1-F4D3-45D8-840A-12C0AFD571B4}" name="Table3" displayName="Table3" ref="A1:EP31" totalsRowShown="0" headerRowDxfId="155" headerRowBorderDxfId="154" tableBorderDxfId="153" totalsRowBorderDxfId="152">
  <autoFilter ref="A1:EP31" xr:uid="{FFDDE6E1-F4D3-45D8-840A-12C0AFD571B4}"/>
  <tableColumns count="146">
    <tableColumn id="1" xr3:uid="{0FF37EFE-7F9A-419D-86E8-5DD3251DF2C5}" name="Mã" dataDxfId="151"/>
    <tableColumn id="2" xr3:uid="{AFACF8E9-8052-47BB-8841-441D39CBBABE}" name="Tên công ty" dataDxfId="150"/>
    <tableColumn id="3" xr3:uid="{30E58816-C818-4226-BD9F-50BBF8AE21CD}" name="Nguyên giá đầu kì 2025" dataDxfId="149"/>
    <tableColumn id="4" xr3:uid="{BEA76433-B36B-4AA3-8C9C-42727AD891A8}" name="Nguyên giá đầu kì 2024" dataDxfId="148"/>
    <tableColumn id="5" xr3:uid="{45F98DF5-8A20-4293-A460-43BDC71459BC}" name="Nguyên giá đầu kì 2023" dataDxfId="147"/>
    <tableColumn id="6" xr3:uid="{02C7B620-4683-48EA-8E17-359CC602D079}" name="Nguyên giá đầu kì 2022" dataDxfId="146"/>
    <tableColumn id="7" xr3:uid="{E61B9600-BB8B-429C-A0B5-11099E1638F8}" name="Nguyên giá đầu kì 2021" dataDxfId="145"/>
    <tableColumn id="8" xr3:uid="{2C93D49A-DAEA-4F7F-A1C6-24B21C43CE13}" name="Nguyên giá đầu kì 2020" dataDxfId="144"/>
    <tableColumn id="9" xr3:uid="{F60A413C-408B-4E13-8236-99ABAD77A340}" name="Nguyên giá đầu kì 2019" dataDxfId="143"/>
    <tableColumn id="10" xr3:uid="{2E5E35BA-5993-40EC-AD84-9F65304EF4E4}" name="Nguyên giá đầu kì 2018" dataDxfId="142"/>
    <tableColumn id="11" xr3:uid="{3E6E2F15-920C-4300-8974-40A2819BCC03}" name="Nguyên giá đầu kì 2017" dataDxfId="141"/>
    <tableColumn id="12" xr3:uid="{741B12A8-2EC5-4857-BC7C-F7ECCF26091E}" name="Nguyên giá đầu kì 2016" dataDxfId="140"/>
    <tableColumn id="13" xr3:uid="{F95B7AAB-0F65-4D56-85AD-9E721D759835}" name="Nguyên giá đầu kì 2015" dataDxfId="139"/>
    <tableColumn id="14" xr3:uid="{6D629972-3520-4157-A93E-CC62C94D0F98}" name="Nguyên giá đầu kì 2014" dataDxfId="138"/>
    <tableColumn id="15" xr3:uid="{599E1553-8CC3-40D1-8F9B-058B2E3073A3}" name="Tăng trong năm 2025" dataDxfId="137"/>
    <tableColumn id="16" xr3:uid="{4A672679-724D-48EE-8748-6BC1BF54B226}" name="Tăng trong năm 2024" dataDxfId="136"/>
    <tableColumn id="17" xr3:uid="{0377E3BC-F587-477D-9B2A-3F5934A65B5C}" name="Tăng trong năm 2023" dataDxfId="135"/>
    <tableColumn id="18" xr3:uid="{B8B71FB7-2174-4CB3-A795-2FCA4CE24E7B}" name="Tăng trong năm 2022" dataDxfId="134"/>
    <tableColumn id="19" xr3:uid="{9E7B6AAE-AA5F-4F24-949E-E32B659E3D7D}" name="Tăng trong năm 2021" dataDxfId="133"/>
    <tableColumn id="20" xr3:uid="{D905B068-DD57-4973-BA18-3ACFA2BC8390}" name="Tăng trong năm 2020" dataDxfId="132"/>
    <tableColumn id="21" xr3:uid="{F0DF8222-E3F2-4957-A58F-49250BE9A38B}" name="Tăng trong năm 2019" dataDxfId="131"/>
    <tableColumn id="22" xr3:uid="{59EBDF5B-CAF9-4DD7-9A7D-C035E3DE2498}" name="Tăng trong năm 2018" dataDxfId="130"/>
    <tableColumn id="23" xr3:uid="{B2227BEA-D681-4136-B9B8-83029C4BF6BF}" name="Tăng trong năm 2017" dataDxfId="129"/>
    <tableColumn id="24" xr3:uid="{8B87698E-B209-4CEC-A48E-B48844FCC3A8}" name="Tăng trong năm 2016" dataDxfId="128"/>
    <tableColumn id="25" xr3:uid="{D5A349CD-F773-4EA4-B162-D9E08D7946FA}" name="Tăng trong năm 2015" dataDxfId="127"/>
    <tableColumn id="26" xr3:uid="{03664126-F2C4-4A55-A6B2-EC7699CFEC2B}" name="Tăng trong năm 2014" dataDxfId="126"/>
    <tableColumn id="27" xr3:uid="{9C174E7F-9C58-45AD-BB25-254DDD741FC1}" name="Đầu tư XDCB hoàn thành năm 2025" dataDxfId="125"/>
    <tableColumn id="28" xr3:uid="{B4A98671-193C-4C88-BC14-8950F9EEA4CB}" name="Đầu tư XDCB hoàn thành năm 2024" dataDxfId="124"/>
    <tableColumn id="29" xr3:uid="{899034BB-7735-4612-B3F7-E7B727E4ABE4}" name="Đầu tư XDCB hoàn thành năm 2023" dataDxfId="123"/>
    <tableColumn id="30" xr3:uid="{174C1A8F-1EE3-4FB4-8495-330660781B8E}" name="Đầu tư XDCB hoàn thành năm 2022" dataDxfId="122"/>
    <tableColumn id="31" xr3:uid="{CCCFD5D6-26EE-4350-9BDC-99FE2652FC5E}" name="Đầu tư XDCB hoàn thành năm 2021" dataDxfId="121"/>
    <tableColumn id="32" xr3:uid="{23DFAAC2-0D5F-4BA7-A60D-99F00EC0A6FD}" name="Đầu tư XDCB hoàn thành năm 2020" dataDxfId="120"/>
    <tableColumn id="33" xr3:uid="{0144890E-0E45-4D45-AEDA-959D80B128E9}" name="Đầu tư XDCB hoàn thành năm 2019" dataDxfId="119"/>
    <tableColumn id="34" xr3:uid="{908BA8ED-F1E7-4EB0-8D22-E55113ECA1DB}" name="Đầu tư XDCB hoàn thành năm 2018" dataDxfId="118"/>
    <tableColumn id="35" xr3:uid="{865CFD03-45A6-425A-BE06-EBF976E5BE86}" name="Đầu tư XDCB hoàn thành năm 2017" dataDxfId="117"/>
    <tableColumn id="36" xr3:uid="{CFC53B57-8F54-47B3-9101-5E010835BD63}" name="Đầu tư XDCB hoàn thành năm 2016" dataDxfId="116"/>
    <tableColumn id="37" xr3:uid="{533E3404-CB10-432B-B35E-9B4E5597DE8D}" name="Đầu tư XDCB hoàn thành năm 2015" dataDxfId="115"/>
    <tableColumn id="38" xr3:uid="{43493F4C-F4C6-4D32-AE31-310A57AAEC8B}" name="Đầu tư XDCB hoàn thành năm 2014" dataDxfId="114"/>
    <tableColumn id="39" xr3:uid="{4AC3592B-90A3-4381-AF7C-301EDC8380D2}" name="Thanh lý năm 2025" dataDxfId="113"/>
    <tableColumn id="40" xr3:uid="{4EBE4663-A172-44DA-BC73-467750D20867}" name="Thanh lý năm 2024" dataDxfId="112"/>
    <tableColumn id="41" xr3:uid="{B62A8F52-F356-49F2-B797-997F62741521}" name="Thanh lý năm 2023" dataDxfId="111"/>
    <tableColumn id="42" xr3:uid="{E48687A1-170B-4C8F-8D2A-DABD29E6FC8E}" name="Thanh lý năm 2022" dataDxfId="110"/>
    <tableColumn id="43" xr3:uid="{A461B205-8964-4FC2-A5D6-E2F3C407DFC7}" name="Thanh lý năm 2021" dataDxfId="109"/>
    <tableColumn id="44" xr3:uid="{4C921938-4FE1-4486-84DF-2807257E214A}" name="Thanh lý năm 2020" dataDxfId="108"/>
    <tableColumn id="45" xr3:uid="{47ABC048-823E-44A9-9549-AF61BD2FA380}" name="Thanh lý năm 2019" dataDxfId="107"/>
    <tableColumn id="46" xr3:uid="{A5145DFA-B1B4-4AE7-9E68-5FF5F831ED46}" name="Thanh lý năm 2018" dataDxfId="106"/>
    <tableColumn id="47" xr3:uid="{CF3DF8E2-8290-4F3E-AFA7-E1C34950DBE2}" name="Thanh lý năm 2017" dataDxfId="105"/>
    <tableColumn id="48" xr3:uid="{083F240D-1125-4BF3-97BD-85EDBD070E32}" name="Thanh lý năm 2016" dataDxfId="104"/>
    <tableColumn id="49" xr3:uid="{EF23280A-1CAD-48B7-BC54-C81F348B5F40}" name="Thanh lý năm 2015" dataDxfId="103"/>
    <tableColumn id="50" xr3:uid="{46AD06C3-DD5C-4A14-92E8-C2E5D0893828}" name="Thanh lý năm 2014" dataDxfId="102"/>
    <tableColumn id="51" xr3:uid="{462E8F3A-52C2-48C5-9817-300FD108ABB0}" name="Nguyên giá cuối kì 2025" dataDxfId="101"/>
    <tableColumn id="52" xr3:uid="{BE056B05-B957-44C8-8CA6-94F35AA0DDFB}" name="Nguyên giá cuối kì 2024" dataDxfId="100"/>
    <tableColumn id="53" xr3:uid="{33CAFABF-8723-42B4-AD83-19807CF051DE}" name="Nguyên giá cuối kì 2023" dataDxfId="99"/>
    <tableColumn id="54" xr3:uid="{235A4191-1443-4788-8762-9D7DB3AF88B1}" name="Nguyên giá cuối kì 2022" dataDxfId="98"/>
    <tableColumn id="55" xr3:uid="{61961443-19C5-4B30-8BC3-047FA4F3FD4D}" name="Nguyên giá cuối kì 2021" dataDxfId="97"/>
    <tableColumn id="56" xr3:uid="{4EFA6525-04EC-4D75-B288-84061E8649D5}" name="Nguyên giá cuối kì 2020" dataDxfId="96"/>
    <tableColumn id="57" xr3:uid="{59C1BC45-8D62-4D2E-904C-DC8D4D394643}" name="Nguyên giá cuối kì 2019" dataDxfId="95"/>
    <tableColumn id="58" xr3:uid="{19CA8A90-9010-4F1B-8D10-D302DAF8D667}" name="Nguyên giá cuối kì 2018" dataDxfId="94"/>
    <tableColumn id="59" xr3:uid="{5FF439EA-807C-4B06-8EDA-9BA27A8B1FFB}" name="Nguyên giá cuối kì 2017" dataDxfId="93"/>
    <tableColumn id="60" xr3:uid="{49445BA0-F51F-48D1-B02E-F43209B26E49}" name="Nguyên giá cuối kì 2016" dataDxfId="92"/>
    <tableColumn id="61" xr3:uid="{CC96E735-6E69-465B-A6E3-E011D35849A4}" name="Nguyên giá cuối kì 2015" dataDxfId="91"/>
    <tableColumn id="62" xr3:uid="{C44E2642-C9D8-4A81-8C6F-985526CAAEFA}" name="Nguyên giá cuối kì 2014" dataDxfId="90"/>
    <tableColumn id="63" xr3:uid="{98BD329D-0141-4F56-99A9-243C8807C281}" name="Hao mòn lũy kế đầu kì năm 2025" dataDxfId="89"/>
    <tableColumn id="64" xr3:uid="{141B7994-C393-4ABD-A462-8AF08EF4A658}" name="Hao mòn lũy kế đầu kì năm 2024" dataDxfId="88"/>
    <tableColumn id="65" xr3:uid="{115E3C89-E8EE-4A61-915B-19F83C36CBC4}" name="Hao mòn lũy kế đầu kì năm 2023" dataDxfId="87"/>
    <tableColumn id="66" xr3:uid="{DF6E5FA0-80AF-44F5-900D-E25BAB1306DC}" name="Hao mòn lũy kế đầu kì năm 2022" dataDxfId="86"/>
    <tableColumn id="67" xr3:uid="{A5A14BCA-7789-4B5D-A6F5-4CFDA6EBBD44}" name="Hao mòn lũy kế đầu kì năm 2021" dataDxfId="85"/>
    <tableColumn id="68" xr3:uid="{AC34DD23-F1D5-42C6-8B8C-296315758FC8}" name="Hao mòn lũy kế đầu kì năm 2020" dataDxfId="84"/>
    <tableColumn id="69" xr3:uid="{972DF802-2C12-4958-9609-A619862BF7AF}" name="Hao mòn lũy kế đầu kì năm 2019" dataDxfId="83"/>
    <tableColumn id="70" xr3:uid="{586F221A-6045-4548-BC05-2B23117AF67E}" name="Hao mòn lũy kế đầu kì năm 2018" dataDxfId="82"/>
    <tableColumn id="71" xr3:uid="{186ECED7-D016-4AF1-BDAE-6511978FEAF9}" name="Hao mòn lũy kế đầu kì năm 2017" dataDxfId="81"/>
    <tableColumn id="72" xr3:uid="{4C449F04-17E2-439F-BDF4-317D1C38ABDA}" name="Hao mòn lũy kế đầu kì năm 2016" dataDxfId="80"/>
    <tableColumn id="73" xr3:uid="{56B7E45F-B46B-415E-A820-B2109BC5924D}" name="Hao mòn lũy kế đầu kì năm 2015" dataDxfId="79"/>
    <tableColumn id="74" xr3:uid="{898C1D57-ED9F-44E1-AE15-F5E8C64E7E6E}" name="Hao mòn lũy kế đầu kì năm 2014" dataDxfId="78"/>
    <tableColumn id="75" xr3:uid="{44DBFE58-A79C-4B4A-869D-6462ADDB3A6D}" name="Khấu hao trong năm 2025" dataDxfId="77"/>
    <tableColumn id="76" xr3:uid="{EB3D2316-BB4C-4A32-9B82-9A29D9ABB151}" name="Khấu hao trong năm 2024" dataDxfId="76"/>
    <tableColumn id="77" xr3:uid="{49E992F7-09FF-4E72-AF17-6EBFEC97E6FF}" name="Khấu hao trong năm 2023" dataDxfId="75"/>
    <tableColumn id="78" xr3:uid="{405890A9-B594-463D-B1BC-186C5B8BA638}" name="Khấu hao trong năm 2022" dataDxfId="74"/>
    <tableColumn id="79" xr3:uid="{AC9C5783-B55D-406B-A9B7-11A59118636F}" name="Khấu hao trong năm 2021" dataDxfId="73"/>
    <tableColumn id="80" xr3:uid="{63EA55A8-4946-4EE7-A59C-9DE7B9AB33B5}" name="Khấu hao trong năm 2020" dataDxfId="72"/>
    <tableColumn id="81" xr3:uid="{FF9AEABD-5F20-45A1-9E53-C070EF7C98FF}" name="Khấu hao trong năm 2019" dataDxfId="71"/>
    <tableColumn id="82" xr3:uid="{0E6C9200-3FF7-4BD9-93FC-1DE4642FD213}" name="Khấu hao trong năm 2018" dataDxfId="70"/>
    <tableColumn id="83" xr3:uid="{0AF8F9B5-D7B7-45DC-A5CD-782220EDE9DD}" name="Khấu hao trong năm 2017" dataDxfId="69"/>
    <tableColumn id="84" xr3:uid="{422D962A-30A1-4CB1-9AC4-38F33A0C724E}" name="Khấu hao trong năm 2016" dataDxfId="68"/>
    <tableColumn id="85" xr3:uid="{3F66085E-E6DD-4A0F-8ECB-40712974A92E}" name="Khấu hao trong năm 2015" dataDxfId="67"/>
    <tableColumn id="86" xr3:uid="{96FA78D5-F65C-4845-8864-359BBFFC0F60}" name="Khấu hao trong năm 2014" dataDxfId="66"/>
    <tableColumn id="87" xr3:uid="{D41AFDDF-3AD2-4F01-8F1D-C6EA187C8011}" name="Thanh lý năm 20252" dataDxfId="65"/>
    <tableColumn id="88" xr3:uid="{98CAEEB1-D80A-4B6A-AACC-3D051D26EB5C}" name="Thanh lý năm 20243" dataDxfId="64"/>
    <tableColumn id="89" xr3:uid="{D41E9599-4C2E-4666-86A1-A6EAC96836D4}" name="Thanh lý năm 20234" dataDxfId="63"/>
    <tableColumn id="90" xr3:uid="{B5950A72-E39E-4B5D-9D77-F64D7B421EC3}" name="Thanh lý năm 20225" dataDxfId="62"/>
    <tableColumn id="91" xr3:uid="{C7196290-B81D-4088-90EA-372FBFB3CCD3}" name="Thanh lý năm 20216" dataDxfId="61"/>
    <tableColumn id="92" xr3:uid="{3B9EC7FD-0ED4-4E3D-A000-07786EC72671}" name="Thanh lý năm 20207" dataDxfId="60"/>
    <tableColumn id="93" xr3:uid="{287B0923-67FA-48D0-A2E8-6E36CF71CA92}" name="Thanh lý năm 20198" dataDxfId="59"/>
    <tableColumn id="94" xr3:uid="{0D282A7D-62D7-49AE-86B8-8E2EA57BDB0B}" name="Thanh lý năm 20189" dataDxfId="58"/>
    <tableColumn id="95" xr3:uid="{53320DAF-BE5C-44A9-ADE5-9ADB2A987408}" name="Thanh lý năm 201710" dataDxfId="57"/>
    <tableColumn id="96" xr3:uid="{2E4087D8-456E-4D79-88BF-0CC258A8D688}" name="Thanh lý năm 201611" dataDxfId="56"/>
    <tableColumn id="97" xr3:uid="{6FC60FC5-8DD1-428C-AD9A-A98DBEB8A835}" name="Thanh lý năm 201512" dataDxfId="55"/>
    <tableColumn id="98" xr3:uid="{96282297-F263-4FD6-9FB1-04FF7C480624}" name="Thanh lý năm 201413" dataDxfId="54"/>
    <tableColumn id="99" xr3:uid="{70593E47-DDAC-49D9-8805-1DE4315D397E}" name="Hao mòn lũy kế cuối kỳ năm 2025" dataDxfId="53"/>
    <tableColumn id="100" xr3:uid="{C7A8542F-04A5-418C-AC0B-7EFBFF9EF228}" name="Hao mòn lũy kế cuối kỳ năm 2024" dataDxfId="52"/>
    <tableColumn id="101" xr3:uid="{8D96249B-E84F-46A7-991F-45A23173E3B6}" name="Hao mòn lũy kế cuối kỳ năm 2023" dataDxfId="51"/>
    <tableColumn id="102" xr3:uid="{D7125FED-57AD-4BC5-9AA7-1612E12AFB21}" name="Hao mòn lũy kế cuối kỳ năm 2022" dataDxfId="50"/>
    <tableColumn id="103" xr3:uid="{8CED0E8C-9BA5-4A41-B9D4-FC60C1338CBD}" name="Hao mòn lũy kế cuối kỳ năm 2021" dataDxfId="49"/>
    <tableColumn id="104" xr3:uid="{1426E54D-A732-4812-8431-4D61ED060873}" name="Hao mòn lũy kế cuối kỳ năm 2020" dataDxfId="48"/>
    <tableColumn id="105" xr3:uid="{B5656E8D-F046-4E69-BED1-28E036BDFE43}" name="Hao mòn lũy kế cuối kỳ năm 2019" dataDxfId="47"/>
    <tableColumn id="106" xr3:uid="{78EECB9F-FD2E-49AD-B9F5-D7347AC12F0F}" name="Hao mòn lũy kế cuối kỳ năm 2018" dataDxfId="46"/>
    <tableColumn id="107" xr3:uid="{CF45ABA9-263E-40CE-A27F-3034103D1464}" name="Hao mòn lũy kế cuối kỳ năm 2017" dataDxfId="45"/>
    <tableColumn id="108" xr3:uid="{71216F27-74D0-49EA-83DE-014B2F3733F3}" name="Hao mòn lũy kế cuối kỳ năm 2016" dataDxfId="44"/>
    <tableColumn id="109" xr3:uid="{7AF17877-72D8-40EC-AB7E-EE4CC2571B42}" name="Hao mòn lũy kế cuối kỳ năm 2015" dataDxfId="43"/>
    <tableColumn id="110" xr3:uid="{AD37CAED-1C44-4FF1-A9C7-3257052115A9}" name="Hao mòn lũy kế cuối kỳ năm 2014" dataDxfId="42"/>
    <tableColumn id="111" xr3:uid="{B69DEFD6-AD8D-4279-B094-3843888B7D5C}" name="giá trị còn lại đầu kỳ năm 2025" dataDxfId="41"/>
    <tableColumn id="112" xr3:uid="{628FD85C-9EDB-4CEB-9E15-721799528CCC}" name="giá trị còn lại đầu kỳ năm 2024" dataDxfId="40"/>
    <tableColumn id="113" xr3:uid="{90D9F9E4-3E46-4902-9758-156BC3E23C8C}" name="giá trị còn lại đầu kỳ năm 2023" dataDxfId="39"/>
    <tableColumn id="114" xr3:uid="{3671D169-344E-45F6-939B-749B281A2A3C}" name="giá trị còn lại đầu kỳ năm 2022" dataDxfId="38"/>
    <tableColumn id="115" xr3:uid="{EDEDA9FA-AF01-4C15-8F07-D310139A53A8}" name="giá trị còn lại đầu kỳ năm 2021" dataDxfId="37"/>
    <tableColumn id="116" xr3:uid="{F9F43584-014D-4099-AC7D-0D281FA40193}" name="giá trị còn lại đầu kỳ năm 2020" dataDxfId="36"/>
    <tableColumn id="117" xr3:uid="{C673B776-6BD8-4D67-ACD5-D08248F3C667}" name="giá trị còn lại đầu kỳ năm 2019" dataDxfId="35"/>
    <tableColumn id="118" xr3:uid="{389DDEE1-63B4-423F-9626-5061DC8D6D6E}" name="giá trị còn lại đầu kỳ năm 2018" dataDxfId="34"/>
    <tableColumn id="119" xr3:uid="{AA606DD5-AD07-4489-B453-F7D3AF7F612F}" name="giá trị còn lại đầu kỳ năm 2017" dataDxfId="33"/>
    <tableColumn id="120" xr3:uid="{8BB6F6DA-C9D4-4519-8DB5-1E859A78D338}" name="giá trị còn lại đầu kỳ năm 2016" dataDxfId="32"/>
    <tableColumn id="121" xr3:uid="{19A71F32-2B4D-46BB-9608-9C2E4CFD058E}" name="giá trị còn lại đầu kỳ năm 2015" dataDxfId="31"/>
    <tableColumn id="122" xr3:uid="{498CBC37-7FF7-4D5F-B0F8-EB1E5FF013B8}" name="giá trị còn lại đầu kỳ năm 2014" dataDxfId="30"/>
    <tableColumn id="123" xr3:uid="{CCDE3ECE-1BC0-479B-944B-848FB39A61DB}" name="giá trị còn lại cuối kỳ năm 2025" dataDxfId="29"/>
    <tableColumn id="124" xr3:uid="{3F66CF4C-81D3-4D35-BCCB-6D0EEC74F040}" name="giá trị còn lại cuối kỳ năm 2024" dataDxfId="28"/>
    <tableColumn id="125" xr3:uid="{6C94F8A8-33AF-47FE-BF42-125F55404418}" name="giá trị còn lại cuối kỳ năm 2023" dataDxfId="27"/>
    <tableColumn id="126" xr3:uid="{E3D69F07-E758-4D04-BA29-87BDE6EA1ADB}" name="giá trị còn lại cuối kỳ năm 2022" dataDxfId="26"/>
    <tableColumn id="127" xr3:uid="{668A2308-53BD-47DD-B856-9A1F8E2DF270}" name="giá trị còn lại cuối kỳ năm 2021" dataDxfId="25"/>
    <tableColumn id="128" xr3:uid="{D729D93E-0C81-4D57-B315-4D5B4B3AEA27}" name="giá trị còn lại cuối kỳ năm 2020" dataDxfId="24"/>
    <tableColumn id="129" xr3:uid="{88F655B7-5879-44FE-86CC-C27F8C840492}" name="giá trị còn lại cuối kỳ năm 2019" dataDxfId="23"/>
    <tableColumn id="130" xr3:uid="{C8373D24-33AF-4D76-B6DC-12402F3B0598}" name="giá trị còn lại cuối kỳ năm 2018" dataDxfId="22"/>
    <tableColumn id="131" xr3:uid="{B9DD994E-DB4D-4F64-9874-0EC42F2F9DB0}" name="giá trị còn lại cuối kỳ năm 2017" dataDxfId="21"/>
    <tableColumn id="132" xr3:uid="{C3AF0691-F918-447C-8129-D00281E1EEF7}" name="giá trị còn lại cuối kỳ năm 2016" dataDxfId="20"/>
    <tableColumn id="133" xr3:uid="{001A2936-F9A8-462B-B6A5-0F01D1FF6052}" name="giá trị còn lại cuối kỳ năm 2015" dataDxfId="19"/>
    <tableColumn id="134" xr3:uid="{6B22551E-C114-4024-9723-4CF11CEA5F91}" name="giá trị còn lại cuối kỳ năm 2014" dataDxfId="18"/>
    <tableColumn id="135" xr3:uid="{1F7895E5-EA41-4E0D-87E4-08705A7A04E9}" name="Nguyên giá TSCD vô hình đã khấu hao hết nhưng vẫn còn sử dụng năm 2025" dataDxfId="17"/>
    <tableColumn id="136" xr3:uid="{19DEDBE0-6107-468A-AFF2-93A480859528}" name="Nguyên giá TSCD vô hình đã khấu hao hết nhưng vẫn còn sử dụng năm 2024" dataDxfId="16"/>
    <tableColumn id="137" xr3:uid="{3FEA88C0-FC48-409A-AFFD-2BD9052565D6}" name="Nguyên giá TSCD vô hình đã khấu hao hết nhưng vẫn còn sử dụng năm 2023" dataDxfId="15"/>
    <tableColumn id="138" xr3:uid="{23172393-D7D2-45FA-A3D7-314689AF50B4}" name="Nguyên giá TSCD vô hình đã khấu hao hết nhưng vẫn còn sử dụng năm 2022" dataDxfId="14"/>
    <tableColumn id="139" xr3:uid="{DD836EC3-E1E4-4836-AD3F-91B85F48D279}" name="Nguyên giá TSCD vô hình đã khấu hao hết nhưng vẫn còn sử dụng năm 2021" dataDxfId="13"/>
    <tableColumn id="140" xr3:uid="{DC7ACD02-8331-47C3-88C9-7A9C4E4E05AC}" name="Nguyên giá TSCD vô hình đã khấu hao hết nhưng vẫn còn sử dụng năm 2020" dataDxfId="12"/>
    <tableColumn id="141" xr3:uid="{85FC3422-8B4F-409C-A864-33BE03D1B890}" name="Nguyên giá TSCD vô hình đã khấu hao hết nhưng vẫn còn sử dụng năm 2019" dataDxfId="11"/>
    <tableColumn id="142" xr3:uid="{334852AF-EED1-4DD6-90B3-6849066D6C16}" name="Nguyên giá TSCD vô hình đã khấu hao hết nhưng vẫn còn sử dụng năm 2018" dataDxfId="10"/>
    <tableColumn id="143" xr3:uid="{B0C350AC-A54A-427F-8C0A-CB02DE2E902A}" name="Nguyên giá TSCD vô hình đã khấu hao hết nhưng vẫn còn sử dụng năm 2017" dataDxfId="9"/>
    <tableColumn id="144" xr3:uid="{D1318C9A-BFF2-4F78-8668-E10A6D680297}" name="Nguyên giá TSCD vô hình đã khấu hao hết nhưng vẫn còn sử dụng năm 2016" dataDxfId="8"/>
    <tableColumn id="145" xr3:uid="{FD393600-C005-4C74-98AD-CFDA0CA5F306}" name="Nguyên giá TSCD vô hình đã khấu hao hết nhưng vẫn còn sử dụng năm 2015" dataDxfId="7"/>
    <tableColumn id="146" xr3:uid="{A1472249-13D0-4534-B123-57F1FA04127B}" name="Nguyên giá TSCD vô hình đã khấu hao hết nhưng vẫn còn sử dụng năm 2014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958D45A-CB0D-4AAA-A3AE-47B35662A4FC}" name="Table3_1" displayName="Table3_1" ref="A1:O331" tableType="queryTable" totalsRowShown="0">
  <autoFilter ref="A1:O331" xr:uid="{C958D45A-CB0D-4AAA-A3AE-47B35662A4FC}">
    <filterColumn colId="2">
      <filters>
        <filter val="Đầu tư XDCB hoàn thành"/>
        <filter val="giá trị còn lại cuối kỳ"/>
        <filter val="giá trị còn lại đầu kỳ"/>
        <filter val="Hao mòn lũy kế cuối kỳ"/>
        <filter val="Hao mòn lũy kế đầu kỳ"/>
        <filter val="Khấu hao trong năm"/>
        <filter val="Nguyên giá cuối kì"/>
        <filter val="Nguyên giá đầu kì"/>
        <filter val="Tăng trong năm"/>
      </filters>
    </filterColumn>
  </autoFilter>
  <tableColumns count="15">
    <tableColumn id="1" xr3:uid="{90EE2BF2-4707-4AE6-BDFC-58D15770AFC8}" uniqueName="1" name="Mã" queryTableFieldId="1" dataDxfId="5"/>
    <tableColumn id="2" xr3:uid="{242FBF9C-B5EB-4AFD-ABFA-81039F10D6D8}" uniqueName="2" name="Tên công ty" queryTableFieldId="2" dataDxfId="4"/>
    <tableColumn id="3" xr3:uid="{95F59DE8-2DE9-4693-94BF-B4A982612D74}" uniqueName="3" name="Attribute.1" queryTableFieldId="3" dataDxfId="3"/>
    <tableColumn id="4" xr3:uid="{B1B38468-E81E-429D-955F-9AA8C3872F21}" uniqueName="4" name="2025" queryTableFieldId="4"/>
    <tableColumn id="5" xr3:uid="{58B04577-F825-4696-A542-00C6011A2DA1}" uniqueName="5" name="2024" queryTableFieldId="5"/>
    <tableColumn id="6" xr3:uid="{8C9A8967-D011-4F7A-8604-7C46A3E57A56}" uniqueName="6" name="2023" queryTableFieldId="6"/>
    <tableColumn id="7" xr3:uid="{E9466C49-2714-47D8-97F3-51928D17C42C}" uniqueName="7" name="2022" queryTableFieldId="7"/>
    <tableColumn id="8" xr3:uid="{39216B5A-F001-4150-B6B4-19384A6623D7}" uniqueName="8" name="2021" queryTableFieldId="8"/>
    <tableColumn id="9" xr3:uid="{02164844-0039-46C7-8471-398C4D457DD8}" uniqueName="9" name="2020" queryTableFieldId="9"/>
    <tableColumn id="10" xr3:uid="{45F41763-B641-4614-93B4-3EBCCAAC9EB9}" uniqueName="10" name="2019" queryTableFieldId="10"/>
    <tableColumn id="11" xr3:uid="{327F7104-C057-428A-A02C-DF612A358D47}" uniqueName="11" name="2018" queryTableFieldId="11"/>
    <tableColumn id="12" xr3:uid="{7984EE62-C154-440C-B6D1-FBE0F3C57DCA}" uniqueName="12" name="2017" queryTableFieldId="12"/>
    <tableColumn id="13" xr3:uid="{A5B85DEA-A917-46F8-A351-DD8940F0A3BE}" uniqueName="13" name="2016" queryTableFieldId="13"/>
    <tableColumn id="14" xr3:uid="{5406BB08-C60A-4DFB-92D0-2EC9A915338E}" uniqueName="14" name="2015" queryTableFieldId="14"/>
    <tableColumn id="15" xr3:uid="{A5A7210E-B586-4B78-BC7C-AE3C4C273B52}" uniqueName="15" name="2014" queryTableFieldId="1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7662C9D-D132-4D87-8CB8-287709A9E79A}" name="Table3_16" displayName="Table3_16" ref="A1:O332" tableType="queryTable" totalsRowCount="1">
  <autoFilter ref="A1:O331" xr:uid="{C958D45A-CB0D-4AAA-A3AE-47B35662A4FC}">
    <filterColumn colId="2">
      <filters>
        <filter val="Đầu tư XDCB hoàn thành"/>
        <filter val="giá trị còn lại cuối kỳ"/>
        <filter val="giá trị còn lại đầu kỳ"/>
        <filter val="Hao mòn lũy kế cuối kỳ"/>
        <filter val="Hao mòn lũy kế đầu kỳ"/>
        <filter val="Khấu hao trong năm"/>
        <filter val="Nguyên giá cuối kì"/>
        <filter val="Nguyên giá đầu kì"/>
        <filter val="Tăng trong năm"/>
      </filters>
    </filterColumn>
  </autoFilter>
  <tableColumns count="15">
    <tableColumn id="1" xr3:uid="{05BB59EF-6117-4A29-B1BF-A02C4A239100}" uniqueName="1" name="Mã" totalsRowLabel="Total" queryTableFieldId="1" dataDxfId="2"/>
    <tableColumn id="2" xr3:uid="{1A01F59F-E78C-41F0-BE3A-F10C3038403C}" uniqueName="2" name="Tên công ty" queryTableFieldId="2" dataDxfId="1"/>
    <tableColumn id="3" xr3:uid="{91DAAA27-EAF7-4A97-A4A8-9D7B1E618C92}" uniqueName="3" name="Attribute.1" queryTableFieldId="3" dataDxfId="0"/>
    <tableColumn id="4" xr3:uid="{37C4DFF4-4A60-49DA-84FF-7B1DBC03D9ED}" uniqueName="4" name="2025" queryTableFieldId="4"/>
    <tableColumn id="5" xr3:uid="{CA372E62-545C-4F10-A2AB-B15D8DB2ED6D}" uniqueName="5" name="2024" queryTableFieldId="5"/>
    <tableColumn id="6" xr3:uid="{3AA6DE08-7422-416E-8D63-B76532D0E14E}" uniqueName="6" name="2023" queryTableFieldId="6"/>
    <tableColumn id="7" xr3:uid="{99CEA777-8B5B-43C6-B74C-962941893DD9}" uniqueName="7" name="2022" queryTableFieldId="7"/>
    <tableColumn id="8" xr3:uid="{A9934F46-F99D-4DE7-BC4C-4D528D2FD284}" uniqueName="8" name="2021" queryTableFieldId="8"/>
    <tableColumn id="9" xr3:uid="{5F9D47B5-EFA9-4B74-8E48-F72AE66AF4CA}" uniqueName="9" name="2020" queryTableFieldId="9"/>
    <tableColumn id="10" xr3:uid="{79E5AEF9-7C83-4720-BBF0-E122808CC3C5}" uniqueName="10" name="2019" queryTableFieldId="10"/>
    <tableColumn id="11" xr3:uid="{0BEA7BBB-AE82-4F5D-B26B-00851E76F244}" uniqueName="11" name="2018" queryTableFieldId="11"/>
    <tableColumn id="12" xr3:uid="{170DF494-88B5-4488-9210-08D30C342EE5}" uniqueName="12" name="2017" queryTableFieldId="12"/>
    <tableColumn id="13" xr3:uid="{FB1C4863-6993-4295-8EFC-72E1ABFD2305}" uniqueName="13" name="2016" queryTableFieldId="13"/>
    <tableColumn id="14" xr3:uid="{1A1EC542-1C41-4456-8653-E50329375360}" uniqueName="14" name="2015" queryTableFieldId="14"/>
    <tableColumn id="15" xr3:uid="{245C1AD6-A55A-49EC-95A5-1A452DBD034A}" uniqueName="15" name="2014" totalsRowFunction="sum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DB576-43E3-42A8-83AA-F628A46BCA1F}">
  <dimension ref="A1:P50"/>
  <sheetViews>
    <sheetView tabSelected="1" topLeftCell="A23" workbookViewId="0">
      <selection activeCell="R27" sqref="R27"/>
    </sheetView>
  </sheetViews>
  <sheetFormatPr defaultRowHeight="14.4" x14ac:dyDescent="0.3"/>
  <cols>
    <col min="3" max="3" width="35.33203125" bestFit="1" customWidth="1"/>
    <col min="6" max="6" width="8.88671875" customWidth="1"/>
    <col min="16" max="16" width="13.77734375" customWidth="1"/>
    <col min="17" max="28" width="13.109375" customWidth="1"/>
  </cols>
  <sheetData>
    <row r="1" spans="1:16" ht="93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2">
        <v>1</v>
      </c>
      <c r="B2" s="3" t="s">
        <v>16</v>
      </c>
      <c r="C2" s="3" t="s">
        <v>16</v>
      </c>
      <c r="D2" s="3" t="s">
        <v>17</v>
      </c>
      <c r="E2" s="3">
        <v>345</v>
      </c>
      <c r="F2" s="3">
        <v>345</v>
      </c>
      <c r="G2" s="3">
        <v>349</v>
      </c>
      <c r="H2" s="3">
        <v>354</v>
      </c>
      <c r="I2" s="3">
        <v>358</v>
      </c>
      <c r="J2" s="3">
        <v>369</v>
      </c>
      <c r="K2" s="3">
        <v>371</v>
      </c>
      <c r="L2" s="3">
        <v>371</v>
      </c>
      <c r="M2" s="3">
        <v>384</v>
      </c>
      <c r="N2" s="3">
        <v>384</v>
      </c>
      <c r="O2" s="3">
        <v>388</v>
      </c>
      <c r="P2" s="2">
        <v>389</v>
      </c>
    </row>
    <row r="3" spans="1:16" x14ac:dyDescent="0.3">
      <c r="A3" s="2">
        <v>2</v>
      </c>
      <c r="B3" s="3" t="s">
        <v>18</v>
      </c>
      <c r="C3" s="3" t="s">
        <v>19</v>
      </c>
      <c r="D3" s="3" t="s">
        <v>20</v>
      </c>
      <c r="E3" s="3">
        <v>2254</v>
      </c>
      <c r="F3" s="3">
        <v>2243</v>
      </c>
      <c r="G3" s="3">
        <v>2240</v>
      </c>
      <c r="H3" s="3">
        <v>2232</v>
      </c>
      <c r="I3" s="3">
        <v>2232</v>
      </c>
      <c r="J3" s="3">
        <v>2229</v>
      </c>
      <c r="K3" s="3">
        <v>2225</v>
      </c>
      <c r="L3" s="3">
        <v>2225</v>
      </c>
      <c r="M3" s="3">
        <v>2224</v>
      </c>
      <c r="N3" s="3">
        <v>2224</v>
      </c>
      <c r="O3" s="3">
        <v>2222</v>
      </c>
      <c r="P3" s="2">
        <v>2214</v>
      </c>
    </row>
    <row r="4" spans="1:16" x14ac:dyDescent="0.3">
      <c r="A4" s="2">
        <v>3</v>
      </c>
      <c r="B4" s="3" t="s">
        <v>21</v>
      </c>
      <c r="C4" s="3" t="s">
        <v>22</v>
      </c>
      <c r="D4" s="3" t="s">
        <v>20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2"/>
    </row>
    <row r="5" spans="1:16" x14ac:dyDescent="0.3">
      <c r="A5" s="2">
        <v>4</v>
      </c>
      <c r="B5" s="3" t="s">
        <v>23</v>
      </c>
      <c r="C5" s="3" t="s">
        <v>24</v>
      </c>
      <c r="D5" s="3" t="s">
        <v>20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2"/>
    </row>
    <row r="6" spans="1:16" x14ac:dyDescent="0.3">
      <c r="A6" s="2">
        <v>5</v>
      </c>
      <c r="B6" s="3" t="s">
        <v>25</v>
      </c>
      <c r="C6" s="3" t="s">
        <v>26</v>
      </c>
      <c r="D6" s="3" t="s">
        <v>20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2"/>
    </row>
    <row r="7" spans="1:16" x14ac:dyDescent="0.3">
      <c r="A7" s="2">
        <v>6</v>
      </c>
      <c r="B7" s="3" t="s">
        <v>27</v>
      </c>
      <c r="C7" s="3" t="s">
        <v>28</v>
      </c>
      <c r="D7" s="3" t="s">
        <v>17</v>
      </c>
      <c r="E7" s="3">
        <v>727</v>
      </c>
      <c r="F7" s="3">
        <v>981</v>
      </c>
      <c r="G7" s="3">
        <v>1005</v>
      </c>
      <c r="H7" s="3">
        <v>1044</v>
      </c>
      <c r="I7" s="3">
        <v>1061</v>
      </c>
      <c r="J7" s="3">
        <v>1060</v>
      </c>
      <c r="K7" s="3">
        <v>1095</v>
      </c>
      <c r="L7" s="3">
        <v>1084</v>
      </c>
      <c r="M7" s="3">
        <v>1084</v>
      </c>
      <c r="N7" s="3">
        <v>1084</v>
      </c>
      <c r="O7" s="3">
        <v>1117</v>
      </c>
      <c r="P7" s="2">
        <v>1102</v>
      </c>
    </row>
    <row r="8" spans="1:16" x14ac:dyDescent="0.3">
      <c r="A8" s="2">
        <v>7</v>
      </c>
      <c r="B8" s="3" t="s">
        <v>29</v>
      </c>
      <c r="C8" s="3" t="s">
        <v>30</v>
      </c>
      <c r="D8" s="3" t="s">
        <v>17</v>
      </c>
      <c r="E8" s="3">
        <v>208</v>
      </c>
      <c r="F8" s="3">
        <v>208</v>
      </c>
      <c r="G8" s="3">
        <v>208</v>
      </c>
      <c r="H8" s="3">
        <v>207</v>
      </c>
      <c r="I8" s="3">
        <v>207</v>
      </c>
      <c r="J8" s="3">
        <v>207</v>
      </c>
      <c r="K8" s="3">
        <v>207</v>
      </c>
      <c r="L8" s="3">
        <v>207</v>
      </c>
      <c r="M8" s="3">
        <v>207</v>
      </c>
      <c r="N8" s="3">
        <v>215</v>
      </c>
      <c r="O8" s="3">
        <v>215</v>
      </c>
      <c r="P8" s="2">
        <v>215</v>
      </c>
    </row>
    <row r="9" spans="1:16" x14ac:dyDescent="0.3">
      <c r="A9" s="2">
        <v>8</v>
      </c>
      <c r="B9" s="3" t="s">
        <v>31</v>
      </c>
      <c r="C9" s="3" t="s">
        <v>32</v>
      </c>
      <c r="D9" s="3" t="s">
        <v>20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2"/>
    </row>
    <row r="10" spans="1:16" x14ac:dyDescent="0.3">
      <c r="A10" s="2">
        <v>9</v>
      </c>
      <c r="B10" s="3" t="s">
        <v>33</v>
      </c>
      <c r="C10" s="3" t="s">
        <v>34</v>
      </c>
      <c r="D10" s="3" t="s">
        <v>17</v>
      </c>
      <c r="E10" s="3">
        <v>207</v>
      </c>
      <c r="F10" s="3">
        <v>218</v>
      </c>
      <c r="G10" s="3">
        <v>218</v>
      </c>
      <c r="H10" s="3">
        <v>238</v>
      </c>
      <c r="I10" s="3">
        <v>283</v>
      </c>
      <c r="J10" s="3">
        <v>283</v>
      </c>
      <c r="K10" s="3">
        <v>305</v>
      </c>
      <c r="L10" s="3">
        <v>326</v>
      </c>
      <c r="M10" s="3">
        <v>344</v>
      </c>
      <c r="N10" s="3">
        <v>372</v>
      </c>
      <c r="O10" s="3">
        <v>368</v>
      </c>
      <c r="P10" s="2">
        <v>375</v>
      </c>
    </row>
    <row r="11" spans="1:16" x14ac:dyDescent="0.3">
      <c r="A11" s="2">
        <v>10</v>
      </c>
      <c r="B11" s="3" t="s">
        <v>35</v>
      </c>
      <c r="C11" s="3" t="s">
        <v>36</v>
      </c>
      <c r="D11" s="3" t="s">
        <v>20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2"/>
    </row>
    <row r="12" spans="1:16" x14ac:dyDescent="0.3">
      <c r="A12" s="2">
        <v>11</v>
      </c>
      <c r="B12" s="3" t="s">
        <v>37</v>
      </c>
      <c r="C12" s="3" t="s">
        <v>38</v>
      </c>
      <c r="D12" s="3" t="s">
        <v>20</v>
      </c>
      <c r="E12" s="3">
        <v>32</v>
      </c>
      <c r="F12" s="3">
        <v>32</v>
      </c>
      <c r="G12" s="3">
        <v>33</v>
      </c>
      <c r="H12" s="3">
        <v>33</v>
      </c>
      <c r="I12" s="3">
        <v>32</v>
      </c>
      <c r="J12" s="3">
        <v>32</v>
      </c>
      <c r="K12" s="3">
        <v>32</v>
      </c>
      <c r="L12" s="3">
        <v>32</v>
      </c>
      <c r="M12" s="3">
        <v>33</v>
      </c>
      <c r="N12" s="3">
        <v>33</v>
      </c>
      <c r="O12" s="3">
        <v>32</v>
      </c>
      <c r="P12" s="2">
        <v>33</v>
      </c>
    </row>
    <row r="13" spans="1:16" x14ac:dyDescent="0.3">
      <c r="A13" s="2">
        <v>12</v>
      </c>
      <c r="B13" s="3" t="s">
        <v>39</v>
      </c>
      <c r="C13" s="3" t="s">
        <v>40</v>
      </c>
      <c r="D13" s="3" t="s">
        <v>17</v>
      </c>
      <c r="E13" s="3">
        <v>96</v>
      </c>
      <c r="F13" s="3">
        <v>103</v>
      </c>
      <c r="G13" s="3">
        <v>114</v>
      </c>
      <c r="H13" s="3">
        <v>117</v>
      </c>
      <c r="I13" s="3">
        <v>134</v>
      </c>
      <c r="J13" s="3">
        <v>134</v>
      </c>
      <c r="K13" s="3">
        <v>134</v>
      </c>
      <c r="L13" s="3">
        <v>134</v>
      </c>
      <c r="M13" s="3">
        <v>134</v>
      </c>
      <c r="N13" s="3">
        <v>134</v>
      </c>
      <c r="O13" s="3">
        <v>134</v>
      </c>
      <c r="P13" s="2">
        <v>134</v>
      </c>
    </row>
    <row r="14" spans="1:16" x14ac:dyDescent="0.3">
      <c r="A14" s="2">
        <v>13</v>
      </c>
      <c r="B14" s="3" t="s">
        <v>41</v>
      </c>
      <c r="C14" s="3" t="s">
        <v>42</v>
      </c>
      <c r="D14" s="3" t="s">
        <v>17</v>
      </c>
      <c r="E14" s="3">
        <v>91</v>
      </c>
      <c r="F14" s="3">
        <v>131</v>
      </c>
      <c r="G14" s="3">
        <v>134</v>
      </c>
      <c r="H14" s="3">
        <v>227</v>
      </c>
      <c r="I14" s="3">
        <v>388</v>
      </c>
      <c r="J14" s="3">
        <v>538</v>
      </c>
      <c r="K14" s="3">
        <v>556</v>
      </c>
      <c r="L14" s="3">
        <v>556</v>
      </c>
      <c r="M14" s="3">
        <v>561</v>
      </c>
      <c r="N14" s="3">
        <v>566</v>
      </c>
      <c r="O14" s="3">
        <v>566</v>
      </c>
      <c r="P14" s="2">
        <v>566</v>
      </c>
    </row>
    <row r="15" spans="1:16" x14ac:dyDescent="0.3">
      <c r="A15" s="2">
        <v>14</v>
      </c>
      <c r="B15" s="3" t="s">
        <v>43</v>
      </c>
      <c r="C15" s="3" t="s">
        <v>44</v>
      </c>
      <c r="D15" s="3" t="s">
        <v>17</v>
      </c>
      <c r="E15" s="3">
        <v>221</v>
      </c>
      <c r="F15" s="3">
        <v>250</v>
      </c>
      <c r="G15" s="3">
        <v>265</v>
      </c>
      <c r="H15" s="3">
        <v>282</v>
      </c>
      <c r="I15" s="3">
        <v>296</v>
      </c>
      <c r="J15" s="3">
        <v>296</v>
      </c>
      <c r="K15" s="3">
        <v>296</v>
      </c>
      <c r="L15" s="3">
        <v>296</v>
      </c>
      <c r="M15" s="3">
        <v>296</v>
      </c>
      <c r="N15" s="3">
        <v>306</v>
      </c>
      <c r="O15" s="3">
        <v>319</v>
      </c>
      <c r="P15" s="2">
        <v>327</v>
      </c>
    </row>
    <row r="16" spans="1:16" x14ac:dyDescent="0.3">
      <c r="A16" s="2">
        <v>15</v>
      </c>
      <c r="B16" s="3" t="s">
        <v>45</v>
      </c>
      <c r="C16" s="3" t="s">
        <v>46</v>
      </c>
      <c r="D16" s="3" t="s">
        <v>20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2"/>
    </row>
    <row r="17" spans="1:16" x14ac:dyDescent="0.3">
      <c r="A17" s="2">
        <v>16</v>
      </c>
      <c r="B17" s="3" t="s">
        <v>47</v>
      </c>
      <c r="C17" s="3" t="s">
        <v>48</v>
      </c>
      <c r="D17" s="3" t="s">
        <v>17</v>
      </c>
      <c r="E17" s="3">
        <v>220</v>
      </c>
      <c r="F17" s="3">
        <v>270</v>
      </c>
      <c r="G17" s="3">
        <v>270</v>
      </c>
      <c r="H17" s="3">
        <v>264</v>
      </c>
      <c r="I17" s="3">
        <v>272</v>
      </c>
      <c r="J17" s="3">
        <v>278</v>
      </c>
      <c r="K17" s="3">
        <v>263</v>
      </c>
      <c r="L17" s="3">
        <v>263</v>
      </c>
      <c r="M17" s="3">
        <v>263</v>
      </c>
      <c r="N17" s="3">
        <v>263</v>
      </c>
      <c r="O17" s="3">
        <v>260</v>
      </c>
      <c r="P17" s="2">
        <v>260</v>
      </c>
    </row>
    <row r="18" spans="1:16" x14ac:dyDescent="0.3">
      <c r="A18" s="2">
        <v>17</v>
      </c>
      <c r="B18" s="3" t="s">
        <v>49</v>
      </c>
      <c r="C18" s="3" t="s">
        <v>50</v>
      </c>
      <c r="D18" s="3" t="s">
        <v>51</v>
      </c>
      <c r="E18" s="3">
        <v>145</v>
      </c>
      <c r="F18" s="3">
        <v>145</v>
      </c>
      <c r="G18" s="3">
        <v>159</v>
      </c>
      <c r="H18" s="3">
        <v>165</v>
      </c>
      <c r="I18" s="3">
        <v>165</v>
      </c>
      <c r="J18" s="3">
        <v>165</v>
      </c>
      <c r="K18" s="3">
        <v>165</v>
      </c>
      <c r="L18" s="3">
        <v>165</v>
      </c>
      <c r="M18" s="3">
        <v>165</v>
      </c>
      <c r="N18" s="3">
        <v>165</v>
      </c>
      <c r="O18" s="3">
        <v>165</v>
      </c>
      <c r="P18" s="2">
        <v>165</v>
      </c>
    </row>
    <row r="19" spans="1:16" x14ac:dyDescent="0.3">
      <c r="A19" s="2">
        <v>18</v>
      </c>
      <c r="B19" s="3" t="s">
        <v>52</v>
      </c>
      <c r="C19" s="3" t="s">
        <v>53</v>
      </c>
      <c r="D19" s="3" t="s">
        <v>20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2"/>
    </row>
    <row r="20" spans="1:16" x14ac:dyDescent="0.3">
      <c r="A20" s="2">
        <v>19</v>
      </c>
      <c r="B20" s="3" t="s">
        <v>54</v>
      </c>
      <c r="C20" s="3" t="s">
        <v>55</v>
      </c>
      <c r="D20" s="3" t="s">
        <v>17</v>
      </c>
      <c r="E20" s="3">
        <v>37</v>
      </c>
      <c r="F20" s="3">
        <v>36</v>
      </c>
      <c r="G20" s="3">
        <v>46</v>
      </c>
      <c r="H20" s="3">
        <v>46</v>
      </c>
      <c r="I20" s="3">
        <v>68</v>
      </c>
      <c r="J20" s="3">
        <v>69</v>
      </c>
      <c r="K20" s="3">
        <v>79</v>
      </c>
      <c r="L20" s="3">
        <v>87</v>
      </c>
      <c r="M20" s="3">
        <v>107</v>
      </c>
      <c r="N20" s="3">
        <v>115</v>
      </c>
      <c r="O20" s="3">
        <v>125</v>
      </c>
      <c r="P20" s="2">
        <v>125</v>
      </c>
    </row>
    <row r="21" spans="1:16" x14ac:dyDescent="0.3">
      <c r="A21" s="2">
        <v>20</v>
      </c>
      <c r="B21" s="3" t="s">
        <v>56</v>
      </c>
      <c r="C21" s="3" t="s">
        <v>57</v>
      </c>
      <c r="D21" s="3" t="s">
        <v>20</v>
      </c>
      <c r="E21" s="3">
        <v>34</v>
      </c>
      <c r="F21" s="3">
        <v>35</v>
      </c>
      <c r="G21" s="3">
        <v>41</v>
      </c>
      <c r="H21" s="3">
        <v>46</v>
      </c>
      <c r="I21" s="3">
        <v>55</v>
      </c>
      <c r="J21" s="3">
        <v>52</v>
      </c>
      <c r="K21" s="3">
        <v>56</v>
      </c>
      <c r="L21" s="3">
        <v>56</v>
      </c>
      <c r="M21" s="3">
        <v>56</v>
      </c>
      <c r="N21" s="3">
        <v>56</v>
      </c>
      <c r="O21" s="3">
        <v>56</v>
      </c>
      <c r="P21" s="2">
        <v>56</v>
      </c>
    </row>
    <row r="22" spans="1:16" x14ac:dyDescent="0.3">
      <c r="A22" s="2">
        <v>21</v>
      </c>
      <c r="B22" s="3" t="s">
        <v>58</v>
      </c>
      <c r="C22" s="3" t="s">
        <v>59</v>
      </c>
      <c r="D22" s="3" t="s">
        <v>60</v>
      </c>
      <c r="E22" s="3">
        <v>92</v>
      </c>
      <c r="F22" s="3">
        <v>92</v>
      </c>
      <c r="G22" s="3">
        <v>96</v>
      </c>
      <c r="H22" s="3">
        <v>108</v>
      </c>
      <c r="I22" s="3">
        <v>125</v>
      </c>
      <c r="J22" s="3">
        <v>135</v>
      </c>
      <c r="K22" s="3">
        <v>144</v>
      </c>
      <c r="L22" s="3">
        <v>145</v>
      </c>
      <c r="M22" s="3">
        <v>162</v>
      </c>
      <c r="N22" s="3">
        <v>174</v>
      </c>
      <c r="O22" s="3">
        <v>186</v>
      </c>
      <c r="P22" s="2">
        <v>193</v>
      </c>
    </row>
    <row r="23" spans="1:16" x14ac:dyDescent="0.3">
      <c r="A23" s="2">
        <v>22</v>
      </c>
      <c r="B23" s="3" t="s">
        <v>61</v>
      </c>
      <c r="C23" s="3" t="s">
        <v>62</v>
      </c>
      <c r="D23" s="3" t="s">
        <v>20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2"/>
    </row>
    <row r="24" spans="1:16" x14ac:dyDescent="0.3">
      <c r="A24" s="2">
        <v>23</v>
      </c>
      <c r="B24" s="3" t="s">
        <v>63</v>
      </c>
      <c r="C24" s="3" t="s">
        <v>64</v>
      </c>
      <c r="D24" s="3" t="s">
        <v>20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2"/>
    </row>
    <row r="25" spans="1:16" x14ac:dyDescent="0.3">
      <c r="A25" s="2">
        <v>24</v>
      </c>
      <c r="B25" s="3" t="s">
        <v>65</v>
      </c>
      <c r="C25" s="3" t="s">
        <v>66</v>
      </c>
      <c r="D25" s="3" t="s">
        <v>17</v>
      </c>
      <c r="E25" s="3">
        <v>57</v>
      </c>
      <c r="F25" s="3">
        <v>58</v>
      </c>
      <c r="G25" s="3">
        <v>68</v>
      </c>
      <c r="H25" s="4">
        <v>67</v>
      </c>
      <c r="I25" s="3">
        <v>69</v>
      </c>
      <c r="J25" s="3">
        <v>102</v>
      </c>
      <c r="K25" s="3">
        <v>106</v>
      </c>
      <c r="L25" s="3">
        <v>107</v>
      </c>
      <c r="M25" s="3">
        <v>116</v>
      </c>
      <c r="N25" s="3">
        <v>139</v>
      </c>
      <c r="O25" s="3">
        <v>147</v>
      </c>
      <c r="P25" s="2">
        <v>147</v>
      </c>
    </row>
    <row r="26" spans="1:16" x14ac:dyDescent="0.3">
      <c r="A26" s="2">
        <v>25</v>
      </c>
      <c r="B26" s="3" t="s">
        <v>67</v>
      </c>
      <c r="C26" s="3" t="s">
        <v>68</v>
      </c>
      <c r="D26" s="3" t="s">
        <v>20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2"/>
    </row>
    <row r="27" spans="1:16" x14ac:dyDescent="0.3">
      <c r="A27" s="2">
        <v>26</v>
      </c>
      <c r="B27" s="3" t="s">
        <v>69</v>
      </c>
      <c r="C27" s="3" t="s">
        <v>70</v>
      </c>
      <c r="D27" s="3" t="s">
        <v>17</v>
      </c>
      <c r="E27" s="3">
        <v>96</v>
      </c>
      <c r="F27" s="3">
        <v>106</v>
      </c>
      <c r="G27" s="3">
        <v>115</v>
      </c>
      <c r="H27" s="3">
        <v>121</v>
      </c>
      <c r="I27" s="3">
        <v>128</v>
      </c>
      <c r="J27" s="3">
        <v>128</v>
      </c>
      <c r="K27" s="3">
        <v>133</v>
      </c>
      <c r="L27" s="3">
        <v>135</v>
      </c>
      <c r="M27" s="3">
        <v>148</v>
      </c>
      <c r="N27" s="3">
        <v>158</v>
      </c>
      <c r="O27" s="3">
        <v>175</v>
      </c>
      <c r="P27" s="2">
        <v>175</v>
      </c>
    </row>
    <row r="28" spans="1:16" x14ac:dyDescent="0.3">
      <c r="A28" s="2">
        <v>27</v>
      </c>
      <c r="B28" s="3" t="s">
        <v>71</v>
      </c>
      <c r="C28" s="3" t="s">
        <v>72</v>
      </c>
      <c r="D28" s="3" t="s">
        <v>60</v>
      </c>
      <c r="E28" s="3">
        <v>89</v>
      </c>
      <c r="F28" s="3">
        <v>89</v>
      </c>
      <c r="G28" s="3">
        <v>90</v>
      </c>
      <c r="H28" s="3">
        <v>90</v>
      </c>
      <c r="I28" s="3">
        <v>90</v>
      </c>
      <c r="J28" s="3">
        <v>90</v>
      </c>
      <c r="K28" s="3">
        <v>90</v>
      </c>
      <c r="L28" s="3">
        <v>90</v>
      </c>
      <c r="M28" s="3">
        <v>90</v>
      </c>
      <c r="N28" s="3">
        <v>76</v>
      </c>
      <c r="O28" s="3">
        <v>64</v>
      </c>
      <c r="P28" s="2">
        <v>64</v>
      </c>
    </row>
    <row r="29" spans="1:16" x14ac:dyDescent="0.3">
      <c r="A29" s="2">
        <v>28</v>
      </c>
      <c r="B29" s="3" t="s">
        <v>73</v>
      </c>
      <c r="C29" s="3" t="s">
        <v>74</v>
      </c>
      <c r="D29" s="3" t="s">
        <v>20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2"/>
    </row>
    <row r="30" spans="1:16" x14ac:dyDescent="0.3">
      <c r="A30" s="2">
        <v>29</v>
      </c>
      <c r="B30" s="3" t="s">
        <v>75</v>
      </c>
      <c r="C30" s="3" t="s">
        <v>76</v>
      </c>
      <c r="D30" s="3" t="s">
        <v>17</v>
      </c>
      <c r="E30" s="3">
        <v>83</v>
      </c>
      <c r="F30" s="3">
        <v>83</v>
      </c>
      <c r="G30" s="3">
        <v>91</v>
      </c>
      <c r="H30" s="3">
        <v>90</v>
      </c>
      <c r="I30" s="3">
        <v>90</v>
      </c>
      <c r="J30" s="3">
        <v>97</v>
      </c>
      <c r="K30" s="3">
        <v>97</v>
      </c>
      <c r="L30" s="3">
        <v>97</v>
      </c>
      <c r="M30" s="3">
        <v>97</v>
      </c>
      <c r="N30" s="3">
        <v>97</v>
      </c>
      <c r="O30" s="3">
        <v>97</v>
      </c>
      <c r="P30" s="2">
        <v>97</v>
      </c>
    </row>
    <row r="31" spans="1:16" x14ac:dyDescent="0.3">
      <c r="A31" s="2">
        <v>30</v>
      </c>
      <c r="B31" s="3" t="s">
        <v>77</v>
      </c>
      <c r="C31" s="3" t="s">
        <v>78</v>
      </c>
      <c r="D31" s="3" t="s">
        <v>20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2"/>
    </row>
    <row r="32" spans="1:16" x14ac:dyDescent="0.3">
      <c r="A32" s="2">
        <v>31</v>
      </c>
      <c r="B32" s="3" t="s">
        <v>79</v>
      </c>
      <c r="C32" s="3" t="s">
        <v>80</v>
      </c>
      <c r="D32" s="3" t="s">
        <v>20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2"/>
    </row>
    <row r="33" spans="1:16" x14ac:dyDescent="0.3">
      <c r="A33" s="2">
        <v>32</v>
      </c>
      <c r="B33" s="3" t="s">
        <v>81</v>
      </c>
      <c r="C33" s="3" t="s">
        <v>82</v>
      </c>
      <c r="D33" s="3" t="s">
        <v>20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2"/>
    </row>
    <row r="34" spans="1:16" x14ac:dyDescent="0.3">
      <c r="A34" s="2">
        <v>33</v>
      </c>
      <c r="B34" s="3" t="s">
        <v>83</v>
      </c>
      <c r="C34" s="3" t="s">
        <v>84</v>
      </c>
      <c r="D34" s="3" t="s">
        <v>20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2"/>
    </row>
    <row r="35" spans="1:16" x14ac:dyDescent="0.3">
      <c r="A35" s="2">
        <v>34</v>
      </c>
      <c r="B35" s="3" t="s">
        <v>85</v>
      </c>
      <c r="C35" s="3" t="s">
        <v>86</v>
      </c>
      <c r="D35" s="3" t="s">
        <v>20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2"/>
    </row>
    <row r="36" spans="1:16" x14ac:dyDescent="0.3">
      <c r="A36" s="2">
        <v>35</v>
      </c>
      <c r="B36" s="3" t="s">
        <v>87</v>
      </c>
      <c r="C36" s="3" t="s">
        <v>88</v>
      </c>
      <c r="D36" s="3" t="s">
        <v>17</v>
      </c>
      <c r="E36" s="3">
        <v>416</v>
      </c>
      <c r="F36" s="3">
        <v>552</v>
      </c>
      <c r="G36" s="3">
        <v>552</v>
      </c>
      <c r="H36" s="3">
        <v>552</v>
      </c>
      <c r="I36" s="3">
        <v>552</v>
      </c>
      <c r="J36" s="3">
        <v>557</v>
      </c>
      <c r="K36" s="3">
        <v>552</v>
      </c>
      <c r="L36" s="3">
        <v>552</v>
      </c>
      <c r="M36" s="3">
        <v>552</v>
      </c>
      <c r="N36" s="3">
        <v>552</v>
      </c>
      <c r="O36" s="3">
        <v>546</v>
      </c>
      <c r="P36" s="2">
        <v>535</v>
      </c>
    </row>
    <row r="37" spans="1:16" x14ac:dyDescent="0.3">
      <c r="A37" s="2">
        <v>36</v>
      </c>
      <c r="B37" s="3" t="s">
        <v>89</v>
      </c>
      <c r="C37" s="3" t="s">
        <v>90</v>
      </c>
      <c r="D37" s="3" t="s">
        <v>51</v>
      </c>
      <c r="E37" s="3">
        <v>79</v>
      </c>
      <c r="F37" s="3">
        <v>79</v>
      </c>
      <c r="G37" s="3">
        <v>79</v>
      </c>
      <c r="H37" s="3">
        <v>79</v>
      </c>
      <c r="I37" s="3">
        <v>79</v>
      </c>
      <c r="J37" s="3">
        <v>79</v>
      </c>
      <c r="K37" s="3">
        <v>79</v>
      </c>
      <c r="L37" s="3">
        <v>79</v>
      </c>
      <c r="M37" s="3">
        <v>80</v>
      </c>
      <c r="N37" s="3">
        <v>82</v>
      </c>
      <c r="O37" s="3">
        <v>91</v>
      </c>
      <c r="P37" s="2">
        <v>91</v>
      </c>
    </row>
    <row r="38" spans="1:16" x14ac:dyDescent="0.3">
      <c r="A38" s="2">
        <v>37</v>
      </c>
      <c r="B38" s="3" t="s">
        <v>91</v>
      </c>
      <c r="C38" s="3" t="s">
        <v>92</v>
      </c>
      <c r="D38" s="3" t="s">
        <v>51</v>
      </c>
      <c r="E38" s="3">
        <v>109</v>
      </c>
      <c r="F38" s="3">
        <v>110</v>
      </c>
      <c r="G38" s="3">
        <v>115</v>
      </c>
      <c r="H38" s="3">
        <v>115</v>
      </c>
      <c r="I38" s="3">
        <v>108</v>
      </c>
      <c r="J38" s="3">
        <v>108</v>
      </c>
      <c r="K38" s="3">
        <v>108</v>
      </c>
      <c r="L38" s="3">
        <v>108</v>
      </c>
      <c r="M38" s="3">
        <v>108</v>
      </c>
      <c r="N38" s="3">
        <v>108</v>
      </c>
      <c r="O38" s="3">
        <v>108</v>
      </c>
      <c r="P38" s="2">
        <v>108</v>
      </c>
    </row>
    <row r="39" spans="1:16" x14ac:dyDescent="0.3">
      <c r="A39" s="2">
        <v>38</v>
      </c>
      <c r="B39" s="3" t="s">
        <v>93</v>
      </c>
      <c r="C39" s="3" t="s">
        <v>94</v>
      </c>
      <c r="D39" s="3" t="s">
        <v>51</v>
      </c>
      <c r="E39" s="3">
        <v>89</v>
      </c>
      <c r="F39" s="3">
        <v>89</v>
      </c>
      <c r="G39" s="3">
        <v>89</v>
      </c>
      <c r="H39" s="3">
        <v>89</v>
      </c>
      <c r="I39" s="3">
        <v>88</v>
      </c>
      <c r="J39" s="3">
        <v>88</v>
      </c>
      <c r="K39" s="3">
        <v>88</v>
      </c>
      <c r="L39" s="3">
        <v>88</v>
      </c>
      <c r="M39" s="3">
        <v>88</v>
      </c>
      <c r="N39" s="3">
        <v>88</v>
      </c>
      <c r="O39" s="3">
        <v>88</v>
      </c>
      <c r="P39" s="2">
        <v>88</v>
      </c>
    </row>
    <row r="40" spans="1:16" x14ac:dyDescent="0.3">
      <c r="A40" s="2">
        <v>39</v>
      </c>
      <c r="B40" s="3" t="s">
        <v>95</v>
      </c>
      <c r="C40" s="3" t="s">
        <v>96</v>
      </c>
      <c r="D40" s="3" t="s">
        <v>17</v>
      </c>
      <c r="E40" s="3">
        <v>153</v>
      </c>
      <c r="F40" s="3">
        <v>160</v>
      </c>
      <c r="G40" s="3">
        <v>160</v>
      </c>
      <c r="H40" s="3">
        <v>162</v>
      </c>
      <c r="I40" s="3">
        <v>162</v>
      </c>
      <c r="J40" s="3">
        <v>165</v>
      </c>
      <c r="K40" s="3">
        <v>173</v>
      </c>
      <c r="L40" s="3">
        <v>173</v>
      </c>
      <c r="M40" s="3">
        <v>181</v>
      </c>
      <c r="N40" s="3">
        <v>181</v>
      </c>
      <c r="O40" s="3">
        <v>181</v>
      </c>
      <c r="P40" s="2">
        <v>181</v>
      </c>
    </row>
    <row r="41" spans="1:16" x14ac:dyDescent="0.3">
      <c r="A41" s="2">
        <v>40</v>
      </c>
      <c r="B41" s="3" t="s">
        <v>97</v>
      </c>
      <c r="C41" s="3" t="s">
        <v>97</v>
      </c>
      <c r="D41" s="3" t="s">
        <v>17</v>
      </c>
      <c r="E41" s="3">
        <v>298</v>
      </c>
      <c r="F41" s="3">
        <v>232</v>
      </c>
      <c r="G41" s="3">
        <v>285</v>
      </c>
      <c r="H41" s="3">
        <v>232</v>
      </c>
      <c r="I41" s="3">
        <v>254</v>
      </c>
      <c r="J41" s="3">
        <v>263</v>
      </c>
      <c r="K41" s="3">
        <v>263</v>
      </c>
      <c r="L41" s="3">
        <v>263</v>
      </c>
      <c r="M41" s="3">
        <v>263</v>
      </c>
      <c r="N41" s="3">
        <v>288</v>
      </c>
      <c r="O41" s="3">
        <v>293</v>
      </c>
      <c r="P41" s="2">
        <v>293</v>
      </c>
    </row>
    <row r="42" spans="1:16" x14ac:dyDescent="0.3">
      <c r="A42" s="2">
        <v>41</v>
      </c>
      <c r="B42" s="3" t="s">
        <v>98</v>
      </c>
      <c r="C42" s="3" t="s">
        <v>99</v>
      </c>
      <c r="D42" s="3" t="s">
        <v>20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2"/>
    </row>
    <row r="43" spans="1:16" x14ac:dyDescent="0.3">
      <c r="A43" s="2">
        <v>42</v>
      </c>
      <c r="B43" s="3" t="s">
        <v>100</v>
      </c>
      <c r="C43" s="3" t="s">
        <v>101</v>
      </c>
      <c r="D43" s="3" t="s">
        <v>17</v>
      </c>
      <c r="E43" s="3">
        <v>312</v>
      </c>
      <c r="F43" s="3">
        <v>312</v>
      </c>
      <c r="G43" s="3">
        <v>312</v>
      </c>
      <c r="H43" s="3">
        <v>312</v>
      </c>
      <c r="I43" s="3">
        <v>314</v>
      </c>
      <c r="J43" s="3">
        <v>311</v>
      </c>
      <c r="K43" s="3">
        <v>309</v>
      </c>
      <c r="L43" s="3">
        <v>307</v>
      </c>
      <c r="M43" s="3">
        <v>300</v>
      </c>
      <c r="N43" s="3">
        <v>301</v>
      </c>
      <c r="O43" s="3">
        <v>299</v>
      </c>
      <c r="P43" s="2">
        <v>302</v>
      </c>
    </row>
    <row r="44" spans="1:16" x14ac:dyDescent="0.3">
      <c r="A44" s="2">
        <v>43</v>
      </c>
      <c r="B44" s="3" t="s">
        <v>102</v>
      </c>
      <c r="C44" s="3" t="s">
        <v>103</v>
      </c>
      <c r="D44" s="3" t="s">
        <v>17</v>
      </c>
      <c r="E44" s="3">
        <v>38</v>
      </c>
      <c r="F44" s="3">
        <v>43</v>
      </c>
      <c r="G44" s="3">
        <v>54</v>
      </c>
      <c r="H44" s="3">
        <v>62</v>
      </c>
      <c r="I44" s="3">
        <v>64</v>
      </c>
      <c r="J44" s="3">
        <v>75</v>
      </c>
      <c r="K44" s="3">
        <v>85</v>
      </c>
      <c r="L44" s="3">
        <v>120</v>
      </c>
      <c r="M44" s="3">
        <v>124</v>
      </c>
      <c r="N44" s="3">
        <v>132</v>
      </c>
      <c r="O44" s="3">
        <v>140</v>
      </c>
      <c r="P44" s="2">
        <v>140</v>
      </c>
    </row>
    <row r="45" spans="1:16" x14ac:dyDescent="0.3">
      <c r="A45" s="2">
        <v>44</v>
      </c>
      <c r="B45" s="3" t="s">
        <v>104</v>
      </c>
      <c r="C45" s="3" t="s">
        <v>105</v>
      </c>
      <c r="D45" s="3" t="s">
        <v>17</v>
      </c>
      <c r="E45" s="3">
        <v>151</v>
      </c>
      <c r="F45" s="3">
        <v>155</v>
      </c>
      <c r="G45" s="3">
        <v>155</v>
      </c>
      <c r="H45" s="3">
        <v>161</v>
      </c>
      <c r="I45" s="3">
        <v>162</v>
      </c>
      <c r="J45" s="3">
        <v>162</v>
      </c>
      <c r="K45" s="3">
        <v>165</v>
      </c>
      <c r="L45" s="3">
        <v>165</v>
      </c>
      <c r="M45" s="3">
        <v>177</v>
      </c>
      <c r="N45" s="3">
        <v>188</v>
      </c>
      <c r="O45" s="3">
        <v>191</v>
      </c>
      <c r="P45" s="2">
        <v>202</v>
      </c>
    </row>
    <row r="46" spans="1:16" x14ac:dyDescent="0.3">
      <c r="A46" s="2">
        <v>45</v>
      </c>
      <c r="B46" s="3" t="s">
        <v>106</v>
      </c>
      <c r="C46" s="3" t="s">
        <v>107</v>
      </c>
      <c r="D46" s="3" t="s">
        <v>17</v>
      </c>
      <c r="E46" s="17">
        <v>95</v>
      </c>
      <c r="F46">
        <v>94</v>
      </c>
      <c r="G46">
        <v>94</v>
      </c>
      <c r="H46">
        <v>94</v>
      </c>
      <c r="I46">
        <v>95</v>
      </c>
      <c r="J46">
        <v>113</v>
      </c>
      <c r="K46">
        <v>118</v>
      </c>
      <c r="L46">
        <v>118</v>
      </c>
      <c r="M46">
        <v>118</v>
      </c>
      <c r="N46">
        <v>118</v>
      </c>
      <c r="O46" s="3">
        <v>118</v>
      </c>
      <c r="P46" s="3">
        <v>132</v>
      </c>
    </row>
    <row r="47" spans="1:16" x14ac:dyDescent="0.3">
      <c r="A47" s="2">
        <v>46</v>
      </c>
      <c r="B47" s="3" t="s">
        <v>108</v>
      </c>
      <c r="C47" s="3" t="s">
        <v>109</v>
      </c>
      <c r="D47" s="3" t="s">
        <v>17</v>
      </c>
      <c r="E47" s="3">
        <v>440</v>
      </c>
      <c r="F47" s="3">
        <v>464</v>
      </c>
      <c r="G47" s="3">
        <v>496</v>
      </c>
      <c r="H47" s="3">
        <v>498</v>
      </c>
      <c r="I47" s="3">
        <v>537</v>
      </c>
      <c r="J47" s="3">
        <v>552</v>
      </c>
      <c r="K47" s="3">
        <v>590</v>
      </c>
      <c r="L47" s="3">
        <v>597</v>
      </c>
      <c r="M47" s="3">
        <v>631</v>
      </c>
      <c r="N47" s="3">
        <v>643</v>
      </c>
      <c r="O47" s="3">
        <v>667</v>
      </c>
      <c r="P47" s="16">
        <v>640</v>
      </c>
    </row>
    <row r="48" spans="1:16" x14ac:dyDescent="0.3">
      <c r="A48" s="2">
        <v>47</v>
      </c>
      <c r="B48" s="3" t="s">
        <v>110</v>
      </c>
      <c r="C48" s="3" t="s">
        <v>111</v>
      </c>
      <c r="D48" s="3" t="s">
        <v>17</v>
      </c>
      <c r="E48" s="3">
        <v>1151</v>
      </c>
      <c r="F48" s="3">
        <v>1162</v>
      </c>
      <c r="G48" s="3">
        <v>1155</v>
      </c>
      <c r="H48" s="3">
        <v>1113</v>
      </c>
      <c r="I48" s="3">
        <v>1113</v>
      </c>
      <c r="J48" s="3">
        <v>1113</v>
      </c>
      <c r="K48" s="3">
        <v>1113</v>
      </c>
      <c r="L48" s="3">
        <v>1113</v>
      </c>
      <c r="M48" s="3">
        <v>1112</v>
      </c>
      <c r="N48" s="3">
        <v>1111</v>
      </c>
      <c r="O48" s="3">
        <v>1108</v>
      </c>
      <c r="P48" s="2">
        <v>1000</v>
      </c>
    </row>
    <row r="49" spans="1:16" x14ac:dyDescent="0.3">
      <c r="A49" s="2">
        <v>48</v>
      </c>
      <c r="B49" s="3" t="s">
        <v>112</v>
      </c>
      <c r="C49" s="3" t="s">
        <v>113</v>
      </c>
      <c r="D49" s="3" t="s">
        <v>20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2"/>
    </row>
    <row r="50" spans="1:16" x14ac:dyDescent="0.3">
      <c r="A50" s="2">
        <v>49</v>
      </c>
      <c r="B50" s="3" t="s">
        <v>114</v>
      </c>
      <c r="C50" s="3" t="s">
        <v>115</v>
      </c>
      <c r="D50" s="3" t="s">
        <v>17</v>
      </c>
      <c r="E50" s="3">
        <v>208</v>
      </c>
      <c r="F50" s="3">
        <v>208</v>
      </c>
      <c r="G50" s="3">
        <v>214</v>
      </c>
      <c r="H50" s="3">
        <v>216</v>
      </c>
      <c r="I50" s="3">
        <v>221</v>
      </c>
      <c r="J50" s="3">
        <v>227</v>
      </c>
      <c r="K50" s="3">
        <v>229</v>
      </c>
      <c r="L50" s="3">
        <v>234</v>
      </c>
      <c r="M50" s="3">
        <v>260</v>
      </c>
      <c r="N50" s="3">
        <v>263</v>
      </c>
      <c r="O50" s="3">
        <v>287</v>
      </c>
      <c r="P50" s="2">
        <v>293</v>
      </c>
    </row>
  </sheetData>
  <sortState xmlns:xlrd2="http://schemas.microsoft.com/office/spreadsheetml/2017/richdata2" columnSort="1" ref="Q1:AB1">
    <sortCondition descending="1" ref="Q1:AB1"/>
  </sortState>
  <phoneticPr fontId="4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EDA55-E9DD-4F4F-AD33-8BC7500464FA}">
  <dimension ref="A1:EQ31"/>
  <sheetViews>
    <sheetView workbookViewId="0">
      <selection sqref="A1:EP31"/>
    </sheetView>
  </sheetViews>
  <sheetFormatPr defaultRowHeight="14.4" x14ac:dyDescent="0.3"/>
  <cols>
    <col min="2" max="2" width="29" bestFit="1" customWidth="1"/>
    <col min="3" max="14" width="24.44140625" customWidth="1"/>
    <col min="15" max="26" width="22.5546875" customWidth="1"/>
    <col min="27" max="38" width="36.21875" customWidth="1"/>
    <col min="39" max="50" width="20.5546875" customWidth="1"/>
    <col min="51" max="62" width="24.77734375" customWidth="1"/>
    <col min="63" max="74" width="33.5546875" customWidth="1"/>
    <col min="75" max="86" width="27" customWidth="1"/>
    <col min="87" max="94" width="21.6640625" customWidth="1"/>
    <col min="95" max="98" width="22.77734375" customWidth="1"/>
    <col min="99" max="110" width="34.33203125" customWidth="1"/>
    <col min="111" max="122" width="31.33203125" customWidth="1"/>
    <col min="123" max="134" width="31.6640625" customWidth="1"/>
    <col min="135" max="146" width="57.109375" customWidth="1"/>
  </cols>
  <sheetData>
    <row r="1" spans="1:147" s="1" customFormat="1" ht="31.2" x14ac:dyDescent="0.3">
      <c r="A1" s="10" t="s">
        <v>1</v>
      </c>
      <c r="B1" s="11" t="s">
        <v>2</v>
      </c>
      <c r="C1" s="11" t="s">
        <v>118</v>
      </c>
      <c r="D1" s="11" t="s">
        <v>119</v>
      </c>
      <c r="E1" s="11" t="s">
        <v>120</v>
      </c>
      <c r="F1" s="11" t="s">
        <v>121</v>
      </c>
      <c r="G1" s="11" t="s">
        <v>122</v>
      </c>
      <c r="H1" s="11" t="s">
        <v>123</v>
      </c>
      <c r="I1" s="11" t="s">
        <v>124</v>
      </c>
      <c r="J1" s="11" t="s">
        <v>125</v>
      </c>
      <c r="K1" s="11" t="s">
        <v>126</v>
      </c>
      <c r="L1" s="11" t="s">
        <v>127</v>
      </c>
      <c r="M1" s="11" t="s">
        <v>128</v>
      </c>
      <c r="N1" s="11" t="s">
        <v>129</v>
      </c>
      <c r="O1" s="11" t="s">
        <v>116</v>
      </c>
      <c r="P1" s="11" t="s">
        <v>117</v>
      </c>
      <c r="Q1" s="11" t="s">
        <v>130</v>
      </c>
      <c r="R1" s="11" t="s">
        <v>131</v>
      </c>
      <c r="S1" s="11" t="s">
        <v>132</v>
      </c>
      <c r="T1" s="11" t="s">
        <v>133</v>
      </c>
      <c r="U1" s="11" t="s">
        <v>134</v>
      </c>
      <c r="V1" s="11" t="s">
        <v>135</v>
      </c>
      <c r="W1" s="11" t="s">
        <v>136</v>
      </c>
      <c r="X1" s="11" t="s">
        <v>137</v>
      </c>
      <c r="Y1" s="11" t="s">
        <v>138</v>
      </c>
      <c r="Z1" s="11" t="s">
        <v>139</v>
      </c>
      <c r="AA1" s="11" t="s">
        <v>140</v>
      </c>
      <c r="AB1" s="11" t="s">
        <v>141</v>
      </c>
      <c r="AC1" s="11" t="s">
        <v>142</v>
      </c>
      <c r="AD1" s="11" t="s">
        <v>143</v>
      </c>
      <c r="AE1" s="11" t="s">
        <v>144</v>
      </c>
      <c r="AF1" s="11" t="s">
        <v>145</v>
      </c>
      <c r="AG1" s="11" t="s">
        <v>146</v>
      </c>
      <c r="AH1" s="11" t="s">
        <v>147</v>
      </c>
      <c r="AI1" s="11" t="s">
        <v>148</v>
      </c>
      <c r="AJ1" s="11" t="s">
        <v>149</v>
      </c>
      <c r="AK1" s="11" t="s">
        <v>150</v>
      </c>
      <c r="AL1" s="11" t="s">
        <v>151</v>
      </c>
      <c r="AM1" s="11" t="s">
        <v>152</v>
      </c>
      <c r="AN1" s="11" t="s">
        <v>153</v>
      </c>
      <c r="AO1" s="11" t="s">
        <v>154</v>
      </c>
      <c r="AP1" s="11" t="s">
        <v>155</v>
      </c>
      <c r="AQ1" s="11" t="s">
        <v>156</v>
      </c>
      <c r="AR1" s="11" t="s">
        <v>157</v>
      </c>
      <c r="AS1" s="11" t="s">
        <v>158</v>
      </c>
      <c r="AT1" s="11" t="s">
        <v>159</v>
      </c>
      <c r="AU1" s="11" t="s">
        <v>160</v>
      </c>
      <c r="AV1" s="11" t="s">
        <v>161</v>
      </c>
      <c r="AW1" s="11" t="s">
        <v>162</v>
      </c>
      <c r="AX1" s="11" t="s">
        <v>163</v>
      </c>
      <c r="AY1" s="11" t="s">
        <v>164</v>
      </c>
      <c r="AZ1" s="11" t="s">
        <v>165</v>
      </c>
      <c r="BA1" s="11" t="s">
        <v>166</v>
      </c>
      <c r="BB1" s="11" t="s">
        <v>167</v>
      </c>
      <c r="BC1" s="11" t="s">
        <v>168</v>
      </c>
      <c r="BD1" s="11" t="s">
        <v>169</v>
      </c>
      <c r="BE1" s="11" t="s">
        <v>170</v>
      </c>
      <c r="BF1" s="11" t="s">
        <v>171</v>
      </c>
      <c r="BG1" s="11" t="s">
        <v>172</v>
      </c>
      <c r="BH1" s="11" t="s">
        <v>173</v>
      </c>
      <c r="BI1" s="11" t="s">
        <v>174</v>
      </c>
      <c r="BJ1" s="11" t="s">
        <v>175</v>
      </c>
      <c r="BK1" s="11" t="s">
        <v>176</v>
      </c>
      <c r="BL1" s="11" t="s">
        <v>177</v>
      </c>
      <c r="BM1" s="11" t="s">
        <v>178</v>
      </c>
      <c r="BN1" s="11" t="s">
        <v>179</v>
      </c>
      <c r="BO1" s="11" t="s">
        <v>180</v>
      </c>
      <c r="BP1" s="11" t="s">
        <v>181</v>
      </c>
      <c r="BQ1" s="11" t="s">
        <v>182</v>
      </c>
      <c r="BR1" s="11" t="s">
        <v>183</v>
      </c>
      <c r="BS1" s="11" t="s">
        <v>184</v>
      </c>
      <c r="BT1" s="11" t="s">
        <v>185</v>
      </c>
      <c r="BU1" s="11" t="s">
        <v>186</v>
      </c>
      <c r="BV1" s="11" t="s">
        <v>187</v>
      </c>
      <c r="BW1" s="11" t="s">
        <v>188</v>
      </c>
      <c r="BX1" s="11" t="s">
        <v>189</v>
      </c>
      <c r="BY1" s="11" t="s">
        <v>190</v>
      </c>
      <c r="BZ1" s="11" t="s">
        <v>191</v>
      </c>
      <c r="CA1" s="11" t="s">
        <v>192</v>
      </c>
      <c r="CB1" s="11" t="s">
        <v>193</v>
      </c>
      <c r="CC1" s="11" t="s">
        <v>194</v>
      </c>
      <c r="CD1" s="11" t="s">
        <v>195</v>
      </c>
      <c r="CE1" s="11" t="s">
        <v>196</v>
      </c>
      <c r="CF1" s="11" t="s">
        <v>197</v>
      </c>
      <c r="CG1" s="11" t="s">
        <v>198</v>
      </c>
      <c r="CH1" s="11" t="s">
        <v>199</v>
      </c>
      <c r="CI1" s="11" t="s">
        <v>248</v>
      </c>
      <c r="CJ1" s="11" t="s">
        <v>249</v>
      </c>
      <c r="CK1" s="11" t="s">
        <v>250</v>
      </c>
      <c r="CL1" s="11" t="s">
        <v>251</v>
      </c>
      <c r="CM1" s="11" t="s">
        <v>252</v>
      </c>
      <c r="CN1" s="11" t="s">
        <v>253</v>
      </c>
      <c r="CO1" s="11" t="s">
        <v>254</v>
      </c>
      <c r="CP1" s="11" t="s">
        <v>255</v>
      </c>
      <c r="CQ1" s="11" t="s">
        <v>256</v>
      </c>
      <c r="CR1" s="11" t="s">
        <v>257</v>
      </c>
      <c r="CS1" s="11" t="s">
        <v>258</v>
      </c>
      <c r="CT1" s="11" t="s">
        <v>259</v>
      </c>
      <c r="CU1" s="11" t="s">
        <v>200</v>
      </c>
      <c r="CV1" s="11" t="s">
        <v>201</v>
      </c>
      <c r="CW1" s="11" t="s">
        <v>202</v>
      </c>
      <c r="CX1" s="11" t="s">
        <v>203</v>
      </c>
      <c r="CY1" s="11" t="s">
        <v>204</v>
      </c>
      <c r="CZ1" s="11" t="s">
        <v>205</v>
      </c>
      <c r="DA1" s="11" t="s">
        <v>206</v>
      </c>
      <c r="DB1" s="11" t="s">
        <v>207</v>
      </c>
      <c r="DC1" s="11" t="s">
        <v>208</v>
      </c>
      <c r="DD1" s="11" t="s">
        <v>209</v>
      </c>
      <c r="DE1" s="11" t="s">
        <v>210</v>
      </c>
      <c r="DF1" s="11" t="s">
        <v>211</v>
      </c>
      <c r="DG1" s="11" t="s">
        <v>212</v>
      </c>
      <c r="DH1" s="11" t="s">
        <v>213</v>
      </c>
      <c r="DI1" s="11" t="s">
        <v>214</v>
      </c>
      <c r="DJ1" s="11" t="s">
        <v>215</v>
      </c>
      <c r="DK1" s="11" t="s">
        <v>216</v>
      </c>
      <c r="DL1" s="11" t="s">
        <v>217</v>
      </c>
      <c r="DM1" s="11" t="s">
        <v>218</v>
      </c>
      <c r="DN1" s="11" t="s">
        <v>219</v>
      </c>
      <c r="DO1" s="11" t="s">
        <v>220</v>
      </c>
      <c r="DP1" s="11" t="s">
        <v>221</v>
      </c>
      <c r="DQ1" s="11" t="s">
        <v>222</v>
      </c>
      <c r="DR1" s="11" t="s">
        <v>223</v>
      </c>
      <c r="DS1" s="11" t="s">
        <v>224</v>
      </c>
      <c r="DT1" s="11" t="s">
        <v>225</v>
      </c>
      <c r="DU1" s="11" t="s">
        <v>226</v>
      </c>
      <c r="DV1" s="11" t="s">
        <v>227</v>
      </c>
      <c r="DW1" s="11" t="s">
        <v>228</v>
      </c>
      <c r="DX1" s="11" t="s">
        <v>229</v>
      </c>
      <c r="DY1" s="11" t="s">
        <v>230</v>
      </c>
      <c r="DZ1" s="11" t="s">
        <v>231</v>
      </c>
      <c r="EA1" s="11" t="s">
        <v>232</v>
      </c>
      <c r="EB1" s="11" t="s">
        <v>233</v>
      </c>
      <c r="EC1" s="11" t="s">
        <v>234</v>
      </c>
      <c r="ED1" s="11" t="s">
        <v>235</v>
      </c>
      <c r="EE1" s="11" t="s">
        <v>236</v>
      </c>
      <c r="EF1" s="11" t="s">
        <v>237</v>
      </c>
      <c r="EG1" s="11" t="s">
        <v>238</v>
      </c>
      <c r="EH1" s="11" t="s">
        <v>239</v>
      </c>
      <c r="EI1" s="11" t="s">
        <v>240</v>
      </c>
      <c r="EJ1" s="11" t="s">
        <v>241</v>
      </c>
      <c r="EK1" s="11" t="s">
        <v>242</v>
      </c>
      <c r="EL1" s="11" t="s">
        <v>243</v>
      </c>
      <c r="EM1" s="11" t="s">
        <v>244</v>
      </c>
      <c r="EN1" s="11" t="s">
        <v>245</v>
      </c>
      <c r="EO1" s="11" t="s">
        <v>246</v>
      </c>
      <c r="EP1" s="12" t="s">
        <v>247</v>
      </c>
      <c r="EQ1" s="5"/>
    </row>
    <row r="2" spans="1:147" x14ac:dyDescent="0.3">
      <c r="A2" s="8" t="s">
        <v>16</v>
      </c>
      <c r="B2" s="3" t="s">
        <v>16</v>
      </c>
      <c r="C2" s="3">
        <v>1</v>
      </c>
      <c r="D2" s="3">
        <v>1</v>
      </c>
      <c r="E2" s="3">
        <v>1</v>
      </c>
      <c r="F2" s="3">
        <v>1</v>
      </c>
      <c r="G2" s="3">
        <v>1</v>
      </c>
      <c r="H2" s="3">
        <v>1</v>
      </c>
      <c r="I2" s="3">
        <v>1</v>
      </c>
      <c r="J2" s="3">
        <v>1</v>
      </c>
      <c r="K2" s="3">
        <v>1</v>
      </c>
      <c r="L2" s="3">
        <v>1</v>
      </c>
      <c r="M2" s="3">
        <v>1</v>
      </c>
      <c r="N2" s="3">
        <v>1</v>
      </c>
      <c r="O2" s="3">
        <v>1</v>
      </c>
      <c r="P2" s="3">
        <v>1</v>
      </c>
      <c r="Q2" s="3">
        <v>1</v>
      </c>
      <c r="R2" s="3">
        <v>1</v>
      </c>
      <c r="S2" s="3">
        <v>1</v>
      </c>
      <c r="T2" s="3">
        <v>1</v>
      </c>
      <c r="U2" s="3">
        <v>1</v>
      </c>
      <c r="V2" s="3">
        <v>1</v>
      </c>
      <c r="W2" s="3">
        <v>1</v>
      </c>
      <c r="X2" s="3">
        <v>1</v>
      </c>
      <c r="Y2" s="3">
        <v>1</v>
      </c>
      <c r="Z2" s="3">
        <v>1</v>
      </c>
      <c r="AA2" s="3">
        <v>1</v>
      </c>
      <c r="AB2" s="3">
        <v>1</v>
      </c>
      <c r="AC2" s="3">
        <v>1</v>
      </c>
      <c r="AD2" s="3">
        <v>1</v>
      </c>
      <c r="AE2" s="3">
        <v>1</v>
      </c>
      <c r="AF2" s="3">
        <v>1</v>
      </c>
      <c r="AG2" s="3">
        <v>1</v>
      </c>
      <c r="AH2" s="3">
        <v>1</v>
      </c>
      <c r="AI2" s="3">
        <v>1</v>
      </c>
      <c r="AJ2" s="3">
        <v>1</v>
      </c>
      <c r="AK2" s="3">
        <v>1</v>
      </c>
      <c r="AL2" s="3">
        <v>1</v>
      </c>
      <c r="AM2" s="3">
        <v>1</v>
      </c>
      <c r="AN2" s="3">
        <v>1</v>
      </c>
      <c r="AO2" s="3">
        <v>1</v>
      </c>
      <c r="AP2" s="3">
        <v>1</v>
      </c>
      <c r="AQ2" s="3">
        <v>1</v>
      </c>
      <c r="AR2" s="3">
        <v>1</v>
      </c>
      <c r="AS2" s="3">
        <v>1</v>
      </c>
      <c r="AT2" s="3">
        <v>1</v>
      </c>
      <c r="AU2" s="3">
        <v>1</v>
      </c>
      <c r="AV2" s="3">
        <v>1</v>
      </c>
      <c r="AW2" s="3">
        <v>1</v>
      </c>
      <c r="AX2" s="3">
        <v>1</v>
      </c>
      <c r="AY2" s="3">
        <v>1</v>
      </c>
      <c r="AZ2" s="3">
        <v>1</v>
      </c>
      <c r="BA2" s="3">
        <v>1</v>
      </c>
      <c r="BB2" s="3">
        <v>1</v>
      </c>
      <c r="BC2" s="3">
        <v>1</v>
      </c>
      <c r="BD2" s="3">
        <v>1</v>
      </c>
      <c r="BE2" s="3">
        <v>1</v>
      </c>
      <c r="BF2" s="3">
        <v>1</v>
      </c>
      <c r="BG2" s="3">
        <v>1</v>
      </c>
      <c r="BH2" s="3">
        <v>1</v>
      </c>
      <c r="BI2" s="3">
        <v>1</v>
      </c>
      <c r="BJ2" s="3">
        <v>1</v>
      </c>
      <c r="BK2" s="3">
        <v>1</v>
      </c>
      <c r="BL2" s="3">
        <v>1</v>
      </c>
      <c r="BM2" s="3">
        <v>1</v>
      </c>
      <c r="BN2" s="3">
        <v>1</v>
      </c>
      <c r="BO2" s="3">
        <v>1</v>
      </c>
      <c r="BP2" s="3">
        <v>1</v>
      </c>
      <c r="BQ2" s="3">
        <v>1</v>
      </c>
      <c r="BR2" s="3">
        <v>1</v>
      </c>
      <c r="BS2" s="3">
        <v>1</v>
      </c>
      <c r="BT2" s="3">
        <v>1</v>
      </c>
      <c r="BU2" s="3">
        <v>1</v>
      </c>
      <c r="BV2" s="3">
        <v>1</v>
      </c>
      <c r="BW2" s="3">
        <v>1</v>
      </c>
      <c r="BX2" s="3">
        <v>1</v>
      </c>
      <c r="BY2" s="3">
        <v>1</v>
      </c>
      <c r="BZ2" s="3">
        <v>1</v>
      </c>
      <c r="CA2" s="3">
        <v>1</v>
      </c>
      <c r="CB2" s="3">
        <v>1</v>
      </c>
      <c r="CC2" s="3">
        <v>1</v>
      </c>
      <c r="CD2" s="3">
        <v>1</v>
      </c>
      <c r="CE2" s="3">
        <v>1</v>
      </c>
      <c r="CF2" s="3">
        <v>1</v>
      </c>
      <c r="CG2" s="3">
        <v>1</v>
      </c>
      <c r="CH2" s="3">
        <v>1</v>
      </c>
      <c r="CI2" s="3">
        <v>1</v>
      </c>
      <c r="CJ2" s="3">
        <v>1</v>
      </c>
      <c r="CK2" s="3">
        <v>1</v>
      </c>
      <c r="CL2" s="3">
        <v>1</v>
      </c>
      <c r="CM2" s="3">
        <v>1</v>
      </c>
      <c r="CN2" s="3">
        <v>1</v>
      </c>
      <c r="CO2" s="3">
        <v>1</v>
      </c>
      <c r="CP2" s="3">
        <v>1</v>
      </c>
      <c r="CQ2" s="3">
        <v>1</v>
      </c>
      <c r="CR2" s="3">
        <v>1</v>
      </c>
      <c r="CS2" s="3">
        <v>1</v>
      </c>
      <c r="CT2" s="3">
        <v>1</v>
      </c>
      <c r="CU2" s="3">
        <v>1</v>
      </c>
      <c r="CV2" s="3">
        <v>1</v>
      </c>
      <c r="CW2" s="3">
        <v>1</v>
      </c>
      <c r="CX2" s="3">
        <v>1</v>
      </c>
      <c r="CY2" s="3">
        <v>1</v>
      </c>
      <c r="CZ2" s="3">
        <v>1</v>
      </c>
      <c r="DA2" s="3">
        <v>1</v>
      </c>
      <c r="DB2" s="3">
        <v>1</v>
      </c>
      <c r="DC2" s="3">
        <v>1</v>
      </c>
      <c r="DD2" s="3">
        <v>1</v>
      </c>
      <c r="DE2" s="3">
        <v>1</v>
      </c>
      <c r="DF2" s="3">
        <v>1</v>
      </c>
      <c r="DG2" s="3">
        <v>1</v>
      </c>
      <c r="DH2" s="3">
        <v>1</v>
      </c>
      <c r="DI2" s="3">
        <v>1</v>
      </c>
      <c r="DJ2" s="3">
        <v>1</v>
      </c>
      <c r="DK2" s="3">
        <v>1</v>
      </c>
      <c r="DL2" s="3">
        <v>1</v>
      </c>
      <c r="DM2" s="3">
        <v>1</v>
      </c>
      <c r="DN2" s="3">
        <v>1</v>
      </c>
      <c r="DO2" s="3">
        <v>1</v>
      </c>
      <c r="DP2" s="3">
        <v>1</v>
      </c>
      <c r="DQ2" s="3">
        <v>1</v>
      </c>
      <c r="DR2" s="3">
        <v>1</v>
      </c>
      <c r="DS2" s="3">
        <v>1</v>
      </c>
      <c r="DT2" s="3">
        <v>1</v>
      </c>
      <c r="DU2" s="3">
        <v>1</v>
      </c>
      <c r="DV2" s="3">
        <v>1</v>
      </c>
      <c r="DW2" s="3">
        <v>1</v>
      </c>
      <c r="DX2" s="3">
        <v>1</v>
      </c>
      <c r="DY2" s="3">
        <v>1</v>
      </c>
      <c r="DZ2" s="3">
        <v>1</v>
      </c>
      <c r="EA2" s="3">
        <v>1</v>
      </c>
      <c r="EB2" s="3">
        <v>1</v>
      </c>
      <c r="EC2" s="3">
        <v>1</v>
      </c>
      <c r="ED2" s="3">
        <v>1</v>
      </c>
      <c r="EE2" s="3">
        <v>1</v>
      </c>
      <c r="EF2" s="3">
        <v>1</v>
      </c>
      <c r="EG2" s="3">
        <v>1</v>
      </c>
      <c r="EH2" s="3">
        <v>1</v>
      </c>
      <c r="EI2" s="3">
        <v>1</v>
      </c>
      <c r="EJ2" s="3">
        <v>1</v>
      </c>
      <c r="EK2" s="3">
        <v>1</v>
      </c>
      <c r="EL2" s="3">
        <v>1</v>
      </c>
      <c r="EM2" s="3">
        <v>1</v>
      </c>
      <c r="EN2" s="3">
        <v>1</v>
      </c>
      <c r="EO2" s="3">
        <v>1</v>
      </c>
      <c r="EP2" s="9">
        <v>1</v>
      </c>
    </row>
    <row r="3" spans="1:147" x14ac:dyDescent="0.3">
      <c r="A3" s="8" t="s">
        <v>18</v>
      </c>
      <c r="B3" s="3" t="s">
        <v>19</v>
      </c>
      <c r="C3" s="3">
        <v>1</v>
      </c>
      <c r="D3" s="3">
        <v>1</v>
      </c>
      <c r="E3" s="3">
        <v>1</v>
      </c>
      <c r="F3" s="3">
        <v>1</v>
      </c>
      <c r="G3" s="3">
        <v>1</v>
      </c>
      <c r="H3" s="3">
        <v>1</v>
      </c>
      <c r="I3" s="3">
        <v>1</v>
      </c>
      <c r="J3" s="3">
        <v>1</v>
      </c>
      <c r="K3" s="3">
        <v>1</v>
      </c>
      <c r="L3" s="3">
        <v>1</v>
      </c>
      <c r="M3" s="3">
        <v>1</v>
      </c>
      <c r="N3" s="3">
        <v>1</v>
      </c>
      <c r="O3" s="3">
        <v>1</v>
      </c>
      <c r="P3" s="3">
        <v>1</v>
      </c>
      <c r="Q3" s="3">
        <v>1</v>
      </c>
      <c r="R3" s="3">
        <v>1</v>
      </c>
      <c r="S3" s="3">
        <v>1</v>
      </c>
      <c r="T3" s="3">
        <v>1</v>
      </c>
      <c r="U3" s="3">
        <v>1</v>
      </c>
      <c r="V3" s="3">
        <v>1</v>
      </c>
      <c r="W3" s="3">
        <v>1</v>
      </c>
      <c r="X3" s="3">
        <v>1</v>
      </c>
      <c r="Y3" s="3">
        <v>1</v>
      </c>
      <c r="Z3" s="3">
        <v>1</v>
      </c>
      <c r="AA3" s="3">
        <v>1</v>
      </c>
      <c r="AB3" s="3">
        <v>1</v>
      </c>
      <c r="AC3" s="3">
        <v>1</v>
      </c>
      <c r="AD3" s="3">
        <v>1</v>
      </c>
      <c r="AE3" s="3">
        <v>1</v>
      </c>
      <c r="AF3" s="3">
        <v>1</v>
      </c>
      <c r="AG3" s="3">
        <v>1</v>
      </c>
      <c r="AH3" s="3">
        <v>1</v>
      </c>
      <c r="AI3" s="3">
        <v>1</v>
      </c>
      <c r="AJ3" s="3">
        <v>1</v>
      </c>
      <c r="AK3" s="3">
        <v>1</v>
      </c>
      <c r="AL3" s="3">
        <v>1</v>
      </c>
      <c r="AM3" s="3">
        <v>1</v>
      </c>
      <c r="AN3" s="3">
        <v>1</v>
      </c>
      <c r="AO3" s="3">
        <v>1</v>
      </c>
      <c r="AP3" s="3">
        <v>1</v>
      </c>
      <c r="AQ3" s="3">
        <v>1</v>
      </c>
      <c r="AR3" s="3">
        <v>1</v>
      </c>
      <c r="AS3" s="3">
        <v>1</v>
      </c>
      <c r="AT3" s="3">
        <v>1</v>
      </c>
      <c r="AU3" s="3">
        <v>1</v>
      </c>
      <c r="AV3" s="3">
        <v>1</v>
      </c>
      <c r="AW3" s="3">
        <v>1</v>
      </c>
      <c r="AX3" s="3">
        <v>1</v>
      </c>
      <c r="AY3" s="3">
        <v>1</v>
      </c>
      <c r="AZ3" s="3">
        <v>1</v>
      </c>
      <c r="BA3" s="3">
        <v>1</v>
      </c>
      <c r="BB3" s="3">
        <v>1</v>
      </c>
      <c r="BC3" s="3">
        <v>1</v>
      </c>
      <c r="BD3" s="3">
        <v>1</v>
      </c>
      <c r="BE3" s="3">
        <v>1</v>
      </c>
      <c r="BF3" s="3">
        <v>1</v>
      </c>
      <c r="BG3" s="3">
        <v>1</v>
      </c>
      <c r="BH3" s="3">
        <v>1</v>
      </c>
      <c r="BI3" s="3">
        <v>1</v>
      </c>
      <c r="BJ3" s="3">
        <v>1</v>
      </c>
      <c r="BK3" s="3">
        <v>1</v>
      </c>
      <c r="BL3" s="3">
        <v>1</v>
      </c>
      <c r="BM3" s="3">
        <v>1</v>
      </c>
      <c r="BN3" s="3">
        <v>1</v>
      </c>
      <c r="BO3" s="3">
        <v>1</v>
      </c>
      <c r="BP3" s="3">
        <v>1</v>
      </c>
      <c r="BQ3" s="3">
        <v>1</v>
      </c>
      <c r="BR3" s="3">
        <v>1</v>
      </c>
      <c r="BS3" s="3">
        <v>1</v>
      </c>
      <c r="BT3" s="3">
        <v>1</v>
      </c>
      <c r="BU3" s="3">
        <v>1</v>
      </c>
      <c r="BV3" s="3">
        <v>1</v>
      </c>
      <c r="BW3" s="3">
        <v>1</v>
      </c>
      <c r="BX3" s="3">
        <v>1</v>
      </c>
      <c r="BY3" s="3">
        <v>1</v>
      </c>
      <c r="BZ3" s="3">
        <v>1</v>
      </c>
      <c r="CA3" s="3">
        <v>1</v>
      </c>
      <c r="CB3" s="3">
        <v>1</v>
      </c>
      <c r="CC3" s="3">
        <v>1</v>
      </c>
      <c r="CD3" s="3">
        <v>1</v>
      </c>
      <c r="CE3" s="3">
        <v>1</v>
      </c>
      <c r="CF3" s="3">
        <v>1</v>
      </c>
      <c r="CG3" s="3">
        <v>1</v>
      </c>
      <c r="CH3" s="3">
        <v>1</v>
      </c>
      <c r="CI3" s="3">
        <v>1</v>
      </c>
      <c r="CJ3" s="3">
        <v>1</v>
      </c>
      <c r="CK3" s="3">
        <v>1</v>
      </c>
      <c r="CL3" s="3">
        <v>1</v>
      </c>
      <c r="CM3" s="3">
        <v>1</v>
      </c>
      <c r="CN3" s="3">
        <v>1</v>
      </c>
      <c r="CO3" s="3">
        <v>1</v>
      </c>
      <c r="CP3" s="3">
        <v>1</v>
      </c>
      <c r="CQ3" s="3">
        <v>1</v>
      </c>
      <c r="CR3" s="3">
        <v>1</v>
      </c>
      <c r="CS3" s="3">
        <v>1</v>
      </c>
      <c r="CT3" s="3">
        <v>1</v>
      </c>
      <c r="CU3" s="3">
        <v>1</v>
      </c>
      <c r="CV3" s="3">
        <v>1</v>
      </c>
      <c r="CW3" s="3">
        <v>1</v>
      </c>
      <c r="CX3" s="3">
        <v>1</v>
      </c>
      <c r="CY3" s="3">
        <v>1</v>
      </c>
      <c r="CZ3" s="3">
        <v>1</v>
      </c>
      <c r="DA3" s="3">
        <v>1</v>
      </c>
      <c r="DB3" s="3">
        <v>1</v>
      </c>
      <c r="DC3" s="3">
        <v>1</v>
      </c>
      <c r="DD3" s="3">
        <v>1</v>
      </c>
      <c r="DE3" s="3">
        <v>1</v>
      </c>
      <c r="DF3" s="3">
        <v>1</v>
      </c>
      <c r="DG3" s="3">
        <v>1</v>
      </c>
      <c r="DH3" s="3">
        <v>1</v>
      </c>
      <c r="DI3" s="3">
        <v>1</v>
      </c>
      <c r="DJ3" s="3">
        <v>1</v>
      </c>
      <c r="DK3" s="3">
        <v>1</v>
      </c>
      <c r="DL3" s="3">
        <v>1</v>
      </c>
      <c r="DM3" s="3">
        <v>1</v>
      </c>
      <c r="DN3" s="3">
        <v>1</v>
      </c>
      <c r="DO3" s="3">
        <v>1</v>
      </c>
      <c r="DP3" s="3">
        <v>1</v>
      </c>
      <c r="DQ3" s="3">
        <v>1</v>
      </c>
      <c r="DR3" s="3">
        <v>1</v>
      </c>
      <c r="DS3" s="3">
        <v>1</v>
      </c>
      <c r="DT3" s="3">
        <v>1</v>
      </c>
      <c r="DU3" s="3">
        <v>1</v>
      </c>
      <c r="DV3" s="3">
        <v>1</v>
      </c>
      <c r="DW3" s="3">
        <v>1</v>
      </c>
      <c r="DX3" s="3">
        <v>1</v>
      </c>
      <c r="DY3" s="3">
        <v>1</v>
      </c>
      <c r="DZ3" s="3">
        <v>1</v>
      </c>
      <c r="EA3" s="3">
        <v>1</v>
      </c>
      <c r="EB3" s="3">
        <v>1</v>
      </c>
      <c r="EC3" s="3">
        <v>1</v>
      </c>
      <c r="ED3" s="3">
        <v>1</v>
      </c>
      <c r="EE3" s="3">
        <v>1</v>
      </c>
      <c r="EF3" s="3">
        <v>1</v>
      </c>
      <c r="EG3" s="3">
        <v>1</v>
      </c>
      <c r="EH3" s="3">
        <v>1</v>
      </c>
      <c r="EI3" s="3">
        <v>1</v>
      </c>
      <c r="EJ3" s="3">
        <v>1</v>
      </c>
      <c r="EK3" s="3">
        <v>1</v>
      </c>
      <c r="EL3" s="3">
        <v>1</v>
      </c>
      <c r="EM3" s="3">
        <v>1</v>
      </c>
      <c r="EN3" s="3">
        <v>1</v>
      </c>
      <c r="EO3" s="3">
        <v>1</v>
      </c>
      <c r="EP3" s="9">
        <v>1</v>
      </c>
    </row>
    <row r="4" spans="1:147" x14ac:dyDescent="0.3">
      <c r="A4" s="8" t="s">
        <v>27</v>
      </c>
      <c r="B4" s="3" t="s">
        <v>28</v>
      </c>
      <c r="C4" s="3">
        <v>1</v>
      </c>
      <c r="D4" s="3">
        <v>1</v>
      </c>
      <c r="E4" s="3">
        <v>1</v>
      </c>
      <c r="F4" s="3">
        <v>1</v>
      </c>
      <c r="G4" s="3">
        <v>1</v>
      </c>
      <c r="H4" s="3">
        <v>1</v>
      </c>
      <c r="I4" s="3">
        <v>1</v>
      </c>
      <c r="J4" s="3">
        <v>1</v>
      </c>
      <c r="K4" s="3">
        <v>1</v>
      </c>
      <c r="L4" s="3">
        <v>1</v>
      </c>
      <c r="M4" s="3">
        <v>1</v>
      </c>
      <c r="N4" s="3">
        <v>1</v>
      </c>
      <c r="O4" s="3">
        <v>1</v>
      </c>
      <c r="P4" s="3">
        <v>1</v>
      </c>
      <c r="Q4" s="3">
        <v>1</v>
      </c>
      <c r="R4" s="3">
        <v>1</v>
      </c>
      <c r="S4" s="3">
        <v>1</v>
      </c>
      <c r="T4" s="3">
        <v>1</v>
      </c>
      <c r="U4" s="3">
        <v>1</v>
      </c>
      <c r="V4" s="3">
        <v>1</v>
      </c>
      <c r="W4" s="3">
        <v>1</v>
      </c>
      <c r="X4" s="3">
        <v>1</v>
      </c>
      <c r="Y4" s="3">
        <v>1</v>
      </c>
      <c r="Z4" s="3">
        <v>1</v>
      </c>
      <c r="AA4" s="3">
        <v>1</v>
      </c>
      <c r="AB4" s="3">
        <v>1</v>
      </c>
      <c r="AC4" s="3">
        <v>1</v>
      </c>
      <c r="AD4" s="3">
        <v>1</v>
      </c>
      <c r="AE4" s="3">
        <v>1</v>
      </c>
      <c r="AF4" s="3">
        <v>1</v>
      </c>
      <c r="AG4" s="3">
        <v>1</v>
      </c>
      <c r="AH4" s="3">
        <v>1</v>
      </c>
      <c r="AI4" s="3">
        <v>1</v>
      </c>
      <c r="AJ4" s="3">
        <v>1</v>
      </c>
      <c r="AK4" s="3">
        <v>1</v>
      </c>
      <c r="AL4" s="3">
        <v>1</v>
      </c>
      <c r="AM4" s="3">
        <v>1</v>
      </c>
      <c r="AN4" s="3">
        <v>1</v>
      </c>
      <c r="AO4" s="3">
        <v>1</v>
      </c>
      <c r="AP4" s="3">
        <v>1</v>
      </c>
      <c r="AQ4" s="3">
        <v>1</v>
      </c>
      <c r="AR4" s="3">
        <v>1</v>
      </c>
      <c r="AS4" s="3">
        <v>1</v>
      </c>
      <c r="AT4" s="3">
        <v>1</v>
      </c>
      <c r="AU4" s="3">
        <v>1</v>
      </c>
      <c r="AV4" s="3">
        <v>1</v>
      </c>
      <c r="AW4" s="3">
        <v>1</v>
      </c>
      <c r="AX4" s="3">
        <v>1</v>
      </c>
      <c r="AY4" s="3">
        <v>1</v>
      </c>
      <c r="AZ4" s="3">
        <v>1</v>
      </c>
      <c r="BA4" s="3">
        <v>1</v>
      </c>
      <c r="BB4" s="3">
        <v>1</v>
      </c>
      <c r="BC4" s="3">
        <v>1</v>
      </c>
      <c r="BD4" s="3">
        <v>1</v>
      </c>
      <c r="BE4" s="3">
        <v>1</v>
      </c>
      <c r="BF4" s="3">
        <v>1</v>
      </c>
      <c r="BG4" s="3">
        <v>1</v>
      </c>
      <c r="BH4" s="3">
        <v>1</v>
      </c>
      <c r="BI4" s="3">
        <v>1</v>
      </c>
      <c r="BJ4" s="3">
        <v>1</v>
      </c>
      <c r="BK4" s="3">
        <v>1</v>
      </c>
      <c r="BL4" s="3">
        <v>1</v>
      </c>
      <c r="BM4" s="3">
        <v>1</v>
      </c>
      <c r="BN4" s="3">
        <v>1</v>
      </c>
      <c r="BO4" s="3">
        <v>1</v>
      </c>
      <c r="BP4" s="3">
        <v>1</v>
      </c>
      <c r="BQ4" s="3">
        <v>1</v>
      </c>
      <c r="BR4" s="3">
        <v>1</v>
      </c>
      <c r="BS4" s="3">
        <v>1</v>
      </c>
      <c r="BT4" s="3">
        <v>1</v>
      </c>
      <c r="BU4" s="3">
        <v>1</v>
      </c>
      <c r="BV4" s="3">
        <v>1</v>
      </c>
      <c r="BW4" s="3">
        <v>1</v>
      </c>
      <c r="BX4" s="3">
        <v>1</v>
      </c>
      <c r="BY4" s="3">
        <v>1</v>
      </c>
      <c r="BZ4" s="3">
        <v>1</v>
      </c>
      <c r="CA4" s="3">
        <v>1</v>
      </c>
      <c r="CB4" s="3">
        <v>1</v>
      </c>
      <c r="CC4" s="3">
        <v>1</v>
      </c>
      <c r="CD4" s="3">
        <v>1</v>
      </c>
      <c r="CE4" s="3">
        <v>1</v>
      </c>
      <c r="CF4" s="3">
        <v>1</v>
      </c>
      <c r="CG4" s="3">
        <v>1</v>
      </c>
      <c r="CH4" s="3">
        <v>1</v>
      </c>
      <c r="CI4" s="3">
        <v>1</v>
      </c>
      <c r="CJ4" s="3">
        <v>1</v>
      </c>
      <c r="CK4" s="3">
        <v>1</v>
      </c>
      <c r="CL4" s="3">
        <v>1</v>
      </c>
      <c r="CM4" s="3">
        <v>1</v>
      </c>
      <c r="CN4" s="3">
        <v>1</v>
      </c>
      <c r="CO4" s="3">
        <v>1</v>
      </c>
      <c r="CP4" s="3">
        <v>1</v>
      </c>
      <c r="CQ4" s="3">
        <v>1</v>
      </c>
      <c r="CR4" s="3">
        <v>1</v>
      </c>
      <c r="CS4" s="3">
        <v>1</v>
      </c>
      <c r="CT4" s="3">
        <v>1</v>
      </c>
      <c r="CU4" s="3">
        <v>1</v>
      </c>
      <c r="CV4" s="3">
        <v>1</v>
      </c>
      <c r="CW4" s="3">
        <v>1</v>
      </c>
      <c r="CX4" s="3">
        <v>1</v>
      </c>
      <c r="CY4" s="3">
        <v>1</v>
      </c>
      <c r="CZ4" s="3">
        <v>1</v>
      </c>
      <c r="DA4" s="3">
        <v>1</v>
      </c>
      <c r="DB4" s="3">
        <v>1</v>
      </c>
      <c r="DC4" s="3">
        <v>1</v>
      </c>
      <c r="DD4" s="3">
        <v>1</v>
      </c>
      <c r="DE4" s="3">
        <v>1</v>
      </c>
      <c r="DF4" s="3">
        <v>1</v>
      </c>
      <c r="DG4" s="3">
        <v>1</v>
      </c>
      <c r="DH4" s="3">
        <v>1</v>
      </c>
      <c r="DI4" s="3">
        <v>1</v>
      </c>
      <c r="DJ4" s="3">
        <v>1</v>
      </c>
      <c r="DK4" s="3">
        <v>1</v>
      </c>
      <c r="DL4" s="3">
        <v>1</v>
      </c>
      <c r="DM4" s="3">
        <v>1</v>
      </c>
      <c r="DN4" s="3">
        <v>1</v>
      </c>
      <c r="DO4" s="3">
        <v>1</v>
      </c>
      <c r="DP4" s="3">
        <v>1</v>
      </c>
      <c r="DQ4" s="3">
        <v>1</v>
      </c>
      <c r="DR4" s="3">
        <v>1</v>
      </c>
      <c r="DS4" s="3">
        <v>1</v>
      </c>
      <c r="DT4" s="3">
        <v>1</v>
      </c>
      <c r="DU4" s="3">
        <v>1</v>
      </c>
      <c r="DV4" s="3">
        <v>1</v>
      </c>
      <c r="DW4" s="3">
        <v>1</v>
      </c>
      <c r="DX4" s="3">
        <v>1</v>
      </c>
      <c r="DY4" s="3">
        <v>1</v>
      </c>
      <c r="DZ4" s="3">
        <v>1</v>
      </c>
      <c r="EA4" s="3">
        <v>1</v>
      </c>
      <c r="EB4" s="3">
        <v>1</v>
      </c>
      <c r="EC4" s="3">
        <v>1</v>
      </c>
      <c r="ED4" s="3">
        <v>1</v>
      </c>
      <c r="EE4" s="3">
        <v>1</v>
      </c>
      <c r="EF4" s="3">
        <v>1</v>
      </c>
      <c r="EG4" s="3">
        <v>1</v>
      </c>
      <c r="EH4" s="3">
        <v>1</v>
      </c>
      <c r="EI4" s="3">
        <v>1</v>
      </c>
      <c r="EJ4" s="3">
        <v>1</v>
      </c>
      <c r="EK4" s="3">
        <v>1</v>
      </c>
      <c r="EL4" s="3">
        <v>1</v>
      </c>
      <c r="EM4" s="3">
        <v>1</v>
      </c>
      <c r="EN4" s="3">
        <v>1</v>
      </c>
      <c r="EO4" s="3">
        <v>1</v>
      </c>
      <c r="EP4" s="9">
        <v>1</v>
      </c>
    </row>
    <row r="5" spans="1:147" x14ac:dyDescent="0.3">
      <c r="A5" s="8" t="s">
        <v>29</v>
      </c>
      <c r="B5" s="3" t="s">
        <v>30</v>
      </c>
      <c r="C5" s="3">
        <v>1</v>
      </c>
      <c r="D5" s="3">
        <v>1</v>
      </c>
      <c r="E5" s="3">
        <v>1</v>
      </c>
      <c r="F5" s="3">
        <v>1</v>
      </c>
      <c r="G5" s="3">
        <v>1</v>
      </c>
      <c r="H5" s="3">
        <v>1</v>
      </c>
      <c r="I5" s="3">
        <v>1</v>
      </c>
      <c r="J5" s="3">
        <v>1</v>
      </c>
      <c r="K5" s="3">
        <v>1</v>
      </c>
      <c r="L5" s="3">
        <v>1</v>
      </c>
      <c r="M5" s="3">
        <v>1</v>
      </c>
      <c r="N5" s="3">
        <v>1</v>
      </c>
      <c r="O5" s="3">
        <v>1</v>
      </c>
      <c r="P5" s="3">
        <v>1</v>
      </c>
      <c r="Q5" s="3">
        <v>1</v>
      </c>
      <c r="R5" s="3">
        <v>1</v>
      </c>
      <c r="S5" s="3">
        <v>1</v>
      </c>
      <c r="T5" s="3">
        <v>1</v>
      </c>
      <c r="U5" s="3">
        <v>1</v>
      </c>
      <c r="V5" s="3">
        <v>1</v>
      </c>
      <c r="W5" s="3">
        <v>1</v>
      </c>
      <c r="X5" s="3">
        <v>1</v>
      </c>
      <c r="Y5" s="3">
        <v>1</v>
      </c>
      <c r="Z5" s="3">
        <v>1</v>
      </c>
      <c r="AA5" s="3">
        <v>1</v>
      </c>
      <c r="AB5" s="3">
        <v>1</v>
      </c>
      <c r="AC5" s="3">
        <v>1</v>
      </c>
      <c r="AD5" s="3">
        <v>1</v>
      </c>
      <c r="AE5" s="3">
        <v>1</v>
      </c>
      <c r="AF5" s="3">
        <v>1</v>
      </c>
      <c r="AG5" s="3">
        <v>1</v>
      </c>
      <c r="AH5" s="3">
        <v>1</v>
      </c>
      <c r="AI5" s="3">
        <v>1</v>
      </c>
      <c r="AJ5" s="3">
        <v>1</v>
      </c>
      <c r="AK5" s="3">
        <v>1</v>
      </c>
      <c r="AL5" s="3">
        <v>1</v>
      </c>
      <c r="AM5" s="3">
        <v>1</v>
      </c>
      <c r="AN5" s="3">
        <v>1</v>
      </c>
      <c r="AO5" s="3">
        <v>1</v>
      </c>
      <c r="AP5" s="3">
        <v>1</v>
      </c>
      <c r="AQ5" s="3">
        <v>1</v>
      </c>
      <c r="AR5" s="3">
        <v>1</v>
      </c>
      <c r="AS5" s="3">
        <v>1</v>
      </c>
      <c r="AT5" s="3">
        <v>1</v>
      </c>
      <c r="AU5" s="3">
        <v>1</v>
      </c>
      <c r="AV5" s="3">
        <v>1</v>
      </c>
      <c r="AW5" s="3">
        <v>1</v>
      </c>
      <c r="AX5" s="3">
        <v>1</v>
      </c>
      <c r="AY5" s="3">
        <v>1</v>
      </c>
      <c r="AZ5" s="3">
        <v>1</v>
      </c>
      <c r="BA5" s="3">
        <v>1</v>
      </c>
      <c r="BB5" s="3">
        <v>1</v>
      </c>
      <c r="BC5" s="3">
        <v>1</v>
      </c>
      <c r="BD5" s="3">
        <v>1</v>
      </c>
      <c r="BE5" s="3">
        <v>1</v>
      </c>
      <c r="BF5" s="3">
        <v>1</v>
      </c>
      <c r="BG5" s="3">
        <v>1</v>
      </c>
      <c r="BH5" s="3">
        <v>1</v>
      </c>
      <c r="BI5" s="3">
        <v>1</v>
      </c>
      <c r="BJ5" s="3">
        <v>1</v>
      </c>
      <c r="BK5" s="3">
        <v>1</v>
      </c>
      <c r="BL5" s="3">
        <v>1</v>
      </c>
      <c r="BM5" s="3">
        <v>1</v>
      </c>
      <c r="BN5" s="3">
        <v>1</v>
      </c>
      <c r="BO5" s="3">
        <v>1</v>
      </c>
      <c r="BP5" s="3">
        <v>1</v>
      </c>
      <c r="BQ5" s="3">
        <v>1</v>
      </c>
      <c r="BR5" s="3">
        <v>1</v>
      </c>
      <c r="BS5" s="3">
        <v>1</v>
      </c>
      <c r="BT5" s="3">
        <v>1</v>
      </c>
      <c r="BU5" s="3">
        <v>1</v>
      </c>
      <c r="BV5" s="3">
        <v>1</v>
      </c>
      <c r="BW5" s="3">
        <v>1</v>
      </c>
      <c r="BX5" s="3">
        <v>1</v>
      </c>
      <c r="BY5" s="3">
        <v>1</v>
      </c>
      <c r="BZ5" s="3">
        <v>1</v>
      </c>
      <c r="CA5" s="3">
        <v>1</v>
      </c>
      <c r="CB5" s="3">
        <v>1</v>
      </c>
      <c r="CC5" s="3">
        <v>1</v>
      </c>
      <c r="CD5" s="3">
        <v>1</v>
      </c>
      <c r="CE5" s="3">
        <v>1</v>
      </c>
      <c r="CF5" s="3">
        <v>1</v>
      </c>
      <c r="CG5" s="3">
        <v>1</v>
      </c>
      <c r="CH5" s="3">
        <v>1</v>
      </c>
      <c r="CI5" s="3">
        <v>1</v>
      </c>
      <c r="CJ5" s="3">
        <v>1</v>
      </c>
      <c r="CK5" s="3">
        <v>1</v>
      </c>
      <c r="CL5" s="3">
        <v>1</v>
      </c>
      <c r="CM5" s="3">
        <v>1</v>
      </c>
      <c r="CN5" s="3">
        <v>1</v>
      </c>
      <c r="CO5" s="3">
        <v>1</v>
      </c>
      <c r="CP5" s="3">
        <v>1</v>
      </c>
      <c r="CQ5" s="3">
        <v>1</v>
      </c>
      <c r="CR5" s="3">
        <v>1</v>
      </c>
      <c r="CS5" s="3">
        <v>1</v>
      </c>
      <c r="CT5" s="3">
        <v>1</v>
      </c>
      <c r="CU5" s="3">
        <v>1</v>
      </c>
      <c r="CV5" s="3">
        <v>1</v>
      </c>
      <c r="CW5" s="3">
        <v>1</v>
      </c>
      <c r="CX5" s="3">
        <v>1</v>
      </c>
      <c r="CY5" s="3">
        <v>1</v>
      </c>
      <c r="CZ5" s="3">
        <v>1</v>
      </c>
      <c r="DA5" s="3">
        <v>1</v>
      </c>
      <c r="DB5" s="3">
        <v>1</v>
      </c>
      <c r="DC5" s="3">
        <v>1</v>
      </c>
      <c r="DD5" s="3">
        <v>1</v>
      </c>
      <c r="DE5" s="3">
        <v>1</v>
      </c>
      <c r="DF5" s="3">
        <v>1</v>
      </c>
      <c r="DG5" s="3">
        <v>1</v>
      </c>
      <c r="DH5" s="3">
        <v>1</v>
      </c>
      <c r="DI5" s="3">
        <v>1</v>
      </c>
      <c r="DJ5" s="3">
        <v>1</v>
      </c>
      <c r="DK5" s="3">
        <v>1</v>
      </c>
      <c r="DL5" s="3">
        <v>1</v>
      </c>
      <c r="DM5" s="3">
        <v>1</v>
      </c>
      <c r="DN5" s="3">
        <v>1</v>
      </c>
      <c r="DO5" s="3">
        <v>1</v>
      </c>
      <c r="DP5" s="3">
        <v>1</v>
      </c>
      <c r="DQ5" s="3">
        <v>1</v>
      </c>
      <c r="DR5" s="3">
        <v>1</v>
      </c>
      <c r="DS5" s="3">
        <v>1</v>
      </c>
      <c r="DT5" s="3">
        <v>1</v>
      </c>
      <c r="DU5" s="3">
        <v>1</v>
      </c>
      <c r="DV5" s="3">
        <v>1</v>
      </c>
      <c r="DW5" s="3">
        <v>1</v>
      </c>
      <c r="DX5" s="3">
        <v>1</v>
      </c>
      <c r="DY5" s="3">
        <v>1</v>
      </c>
      <c r="DZ5" s="3">
        <v>1</v>
      </c>
      <c r="EA5" s="3">
        <v>1</v>
      </c>
      <c r="EB5" s="3">
        <v>1</v>
      </c>
      <c r="EC5" s="3">
        <v>1</v>
      </c>
      <c r="ED5" s="3">
        <v>1</v>
      </c>
      <c r="EE5" s="3">
        <v>1</v>
      </c>
      <c r="EF5" s="3">
        <v>1</v>
      </c>
      <c r="EG5" s="3">
        <v>1</v>
      </c>
      <c r="EH5" s="3">
        <v>1</v>
      </c>
      <c r="EI5" s="3">
        <v>1</v>
      </c>
      <c r="EJ5" s="3">
        <v>1</v>
      </c>
      <c r="EK5" s="3">
        <v>1</v>
      </c>
      <c r="EL5" s="3">
        <v>1</v>
      </c>
      <c r="EM5" s="3">
        <v>1</v>
      </c>
      <c r="EN5" s="3">
        <v>1</v>
      </c>
      <c r="EO5" s="3">
        <v>1</v>
      </c>
      <c r="EP5" s="9">
        <v>1</v>
      </c>
    </row>
    <row r="6" spans="1:147" x14ac:dyDescent="0.3">
      <c r="A6" s="8" t="s">
        <v>33</v>
      </c>
      <c r="B6" s="3" t="s">
        <v>34</v>
      </c>
      <c r="C6" s="3">
        <v>1</v>
      </c>
      <c r="D6" s="3">
        <v>1</v>
      </c>
      <c r="E6" s="3">
        <v>1</v>
      </c>
      <c r="F6" s="3">
        <v>1</v>
      </c>
      <c r="G6" s="3">
        <v>1</v>
      </c>
      <c r="H6" s="3">
        <v>1</v>
      </c>
      <c r="I6" s="3">
        <v>1</v>
      </c>
      <c r="J6" s="3">
        <v>1</v>
      </c>
      <c r="K6" s="3">
        <v>1</v>
      </c>
      <c r="L6" s="3">
        <v>1</v>
      </c>
      <c r="M6" s="3">
        <v>1</v>
      </c>
      <c r="N6" s="3">
        <v>1</v>
      </c>
      <c r="O6" s="3">
        <v>1</v>
      </c>
      <c r="P6" s="3">
        <v>1</v>
      </c>
      <c r="Q6" s="3">
        <v>1</v>
      </c>
      <c r="R6" s="3">
        <v>1</v>
      </c>
      <c r="S6" s="3">
        <v>1</v>
      </c>
      <c r="T6" s="3">
        <v>1</v>
      </c>
      <c r="U6" s="3">
        <v>1</v>
      </c>
      <c r="V6" s="3">
        <v>1</v>
      </c>
      <c r="W6" s="3">
        <v>1</v>
      </c>
      <c r="X6" s="3">
        <v>1</v>
      </c>
      <c r="Y6" s="3">
        <v>1</v>
      </c>
      <c r="Z6" s="3">
        <v>1</v>
      </c>
      <c r="AA6" s="3">
        <v>1</v>
      </c>
      <c r="AB6" s="3">
        <v>1</v>
      </c>
      <c r="AC6" s="3">
        <v>1</v>
      </c>
      <c r="AD6" s="3">
        <v>1</v>
      </c>
      <c r="AE6" s="3">
        <v>1</v>
      </c>
      <c r="AF6" s="3">
        <v>1</v>
      </c>
      <c r="AG6" s="3">
        <v>1</v>
      </c>
      <c r="AH6" s="3">
        <v>1</v>
      </c>
      <c r="AI6" s="3">
        <v>1</v>
      </c>
      <c r="AJ6" s="3">
        <v>1</v>
      </c>
      <c r="AK6" s="3">
        <v>1</v>
      </c>
      <c r="AL6" s="3">
        <v>1</v>
      </c>
      <c r="AM6" s="3">
        <v>1</v>
      </c>
      <c r="AN6" s="3">
        <v>1</v>
      </c>
      <c r="AO6" s="3">
        <v>1</v>
      </c>
      <c r="AP6" s="3">
        <v>1</v>
      </c>
      <c r="AQ6" s="3">
        <v>1</v>
      </c>
      <c r="AR6" s="3">
        <v>1</v>
      </c>
      <c r="AS6" s="3">
        <v>1</v>
      </c>
      <c r="AT6" s="3">
        <v>1</v>
      </c>
      <c r="AU6" s="3">
        <v>1</v>
      </c>
      <c r="AV6" s="3">
        <v>1</v>
      </c>
      <c r="AW6" s="3">
        <v>1</v>
      </c>
      <c r="AX6" s="3">
        <v>1</v>
      </c>
      <c r="AY6" s="3">
        <v>1</v>
      </c>
      <c r="AZ6" s="3">
        <v>1</v>
      </c>
      <c r="BA6" s="3">
        <v>1</v>
      </c>
      <c r="BB6" s="3">
        <v>1</v>
      </c>
      <c r="BC6" s="3">
        <v>1</v>
      </c>
      <c r="BD6" s="3">
        <v>1</v>
      </c>
      <c r="BE6" s="3">
        <v>1</v>
      </c>
      <c r="BF6" s="3">
        <v>1</v>
      </c>
      <c r="BG6" s="3">
        <v>1</v>
      </c>
      <c r="BH6" s="3">
        <v>1</v>
      </c>
      <c r="BI6" s="3">
        <v>1</v>
      </c>
      <c r="BJ6" s="3">
        <v>1</v>
      </c>
      <c r="BK6" s="3">
        <v>1</v>
      </c>
      <c r="BL6" s="3">
        <v>1</v>
      </c>
      <c r="BM6" s="3">
        <v>1</v>
      </c>
      <c r="BN6" s="3">
        <v>1</v>
      </c>
      <c r="BO6" s="3">
        <v>1</v>
      </c>
      <c r="BP6" s="3">
        <v>1</v>
      </c>
      <c r="BQ6" s="3">
        <v>1</v>
      </c>
      <c r="BR6" s="3">
        <v>1</v>
      </c>
      <c r="BS6" s="3">
        <v>1</v>
      </c>
      <c r="BT6" s="3">
        <v>1</v>
      </c>
      <c r="BU6" s="3">
        <v>1</v>
      </c>
      <c r="BV6" s="3">
        <v>1</v>
      </c>
      <c r="BW6" s="3">
        <v>1</v>
      </c>
      <c r="BX6" s="3">
        <v>1</v>
      </c>
      <c r="BY6" s="3">
        <v>1</v>
      </c>
      <c r="BZ6" s="3">
        <v>1</v>
      </c>
      <c r="CA6" s="3">
        <v>1</v>
      </c>
      <c r="CB6" s="3">
        <v>1</v>
      </c>
      <c r="CC6" s="3">
        <v>1</v>
      </c>
      <c r="CD6" s="3">
        <v>1</v>
      </c>
      <c r="CE6" s="3">
        <v>1</v>
      </c>
      <c r="CF6" s="3">
        <v>1</v>
      </c>
      <c r="CG6" s="3">
        <v>1</v>
      </c>
      <c r="CH6" s="3">
        <v>1</v>
      </c>
      <c r="CI6" s="3">
        <v>1</v>
      </c>
      <c r="CJ6" s="3">
        <v>1</v>
      </c>
      <c r="CK6" s="3">
        <v>1</v>
      </c>
      <c r="CL6" s="3">
        <v>1</v>
      </c>
      <c r="CM6" s="3">
        <v>1</v>
      </c>
      <c r="CN6" s="3">
        <v>1</v>
      </c>
      <c r="CO6" s="3">
        <v>1</v>
      </c>
      <c r="CP6" s="3">
        <v>1</v>
      </c>
      <c r="CQ6" s="3">
        <v>1</v>
      </c>
      <c r="CR6" s="3">
        <v>1</v>
      </c>
      <c r="CS6" s="3">
        <v>1</v>
      </c>
      <c r="CT6" s="3">
        <v>1</v>
      </c>
      <c r="CU6" s="3">
        <v>1</v>
      </c>
      <c r="CV6" s="3">
        <v>1</v>
      </c>
      <c r="CW6" s="3">
        <v>1</v>
      </c>
      <c r="CX6" s="3">
        <v>1</v>
      </c>
      <c r="CY6" s="3">
        <v>1</v>
      </c>
      <c r="CZ6" s="3">
        <v>1</v>
      </c>
      <c r="DA6" s="3">
        <v>1</v>
      </c>
      <c r="DB6" s="3">
        <v>1</v>
      </c>
      <c r="DC6" s="3">
        <v>1</v>
      </c>
      <c r="DD6" s="3">
        <v>1</v>
      </c>
      <c r="DE6" s="3">
        <v>1</v>
      </c>
      <c r="DF6" s="3">
        <v>1</v>
      </c>
      <c r="DG6" s="3">
        <v>1</v>
      </c>
      <c r="DH6" s="3">
        <v>1</v>
      </c>
      <c r="DI6" s="3">
        <v>1</v>
      </c>
      <c r="DJ6" s="3">
        <v>1</v>
      </c>
      <c r="DK6" s="3">
        <v>1</v>
      </c>
      <c r="DL6" s="3">
        <v>1</v>
      </c>
      <c r="DM6" s="3">
        <v>1</v>
      </c>
      <c r="DN6" s="3">
        <v>1</v>
      </c>
      <c r="DO6" s="3">
        <v>1</v>
      </c>
      <c r="DP6" s="3">
        <v>1</v>
      </c>
      <c r="DQ6" s="3">
        <v>1</v>
      </c>
      <c r="DR6" s="3">
        <v>1</v>
      </c>
      <c r="DS6" s="3">
        <v>1</v>
      </c>
      <c r="DT6" s="3">
        <v>1</v>
      </c>
      <c r="DU6" s="3">
        <v>1</v>
      </c>
      <c r="DV6" s="3">
        <v>1</v>
      </c>
      <c r="DW6" s="3">
        <v>1</v>
      </c>
      <c r="DX6" s="3">
        <v>1</v>
      </c>
      <c r="DY6" s="3">
        <v>1</v>
      </c>
      <c r="DZ6" s="3">
        <v>1</v>
      </c>
      <c r="EA6" s="3">
        <v>1</v>
      </c>
      <c r="EB6" s="3">
        <v>1</v>
      </c>
      <c r="EC6" s="3">
        <v>1</v>
      </c>
      <c r="ED6" s="3">
        <v>1</v>
      </c>
      <c r="EE6" s="3">
        <v>1</v>
      </c>
      <c r="EF6" s="3">
        <v>1</v>
      </c>
      <c r="EG6" s="3">
        <v>1</v>
      </c>
      <c r="EH6" s="3">
        <v>1</v>
      </c>
      <c r="EI6" s="3">
        <v>1</v>
      </c>
      <c r="EJ6" s="3">
        <v>1</v>
      </c>
      <c r="EK6" s="3">
        <v>1</v>
      </c>
      <c r="EL6" s="3">
        <v>1</v>
      </c>
      <c r="EM6" s="3">
        <v>1</v>
      </c>
      <c r="EN6" s="3">
        <v>1</v>
      </c>
      <c r="EO6" s="3">
        <v>1</v>
      </c>
      <c r="EP6" s="9">
        <v>1</v>
      </c>
    </row>
    <row r="7" spans="1:147" x14ac:dyDescent="0.3">
      <c r="A7" s="8" t="s">
        <v>37</v>
      </c>
      <c r="B7" s="3" t="s">
        <v>38</v>
      </c>
      <c r="C7" s="3">
        <v>1</v>
      </c>
      <c r="D7" s="3">
        <v>1</v>
      </c>
      <c r="E7" s="3">
        <v>1</v>
      </c>
      <c r="F7" s="3">
        <v>1</v>
      </c>
      <c r="G7" s="3">
        <v>1</v>
      </c>
      <c r="H7" s="3">
        <v>1</v>
      </c>
      <c r="I7" s="3">
        <v>1</v>
      </c>
      <c r="J7" s="3">
        <v>1</v>
      </c>
      <c r="K7" s="3">
        <v>1</v>
      </c>
      <c r="L7" s="3">
        <v>1</v>
      </c>
      <c r="M7" s="3">
        <v>1</v>
      </c>
      <c r="N7" s="3">
        <v>1</v>
      </c>
      <c r="O7" s="3">
        <v>1</v>
      </c>
      <c r="P7" s="3">
        <v>1</v>
      </c>
      <c r="Q7" s="3">
        <v>1</v>
      </c>
      <c r="R7" s="3">
        <v>1</v>
      </c>
      <c r="S7" s="3">
        <v>1</v>
      </c>
      <c r="T7" s="3">
        <v>1</v>
      </c>
      <c r="U7" s="3">
        <v>1</v>
      </c>
      <c r="V7" s="3">
        <v>1</v>
      </c>
      <c r="W7" s="3">
        <v>1</v>
      </c>
      <c r="X7" s="3">
        <v>1</v>
      </c>
      <c r="Y7" s="3">
        <v>1</v>
      </c>
      <c r="Z7" s="3">
        <v>1</v>
      </c>
      <c r="AA7" s="3">
        <v>1</v>
      </c>
      <c r="AB7" s="3">
        <v>1</v>
      </c>
      <c r="AC7" s="3">
        <v>1</v>
      </c>
      <c r="AD7" s="3">
        <v>1</v>
      </c>
      <c r="AE7" s="3">
        <v>1</v>
      </c>
      <c r="AF7" s="3">
        <v>1</v>
      </c>
      <c r="AG7" s="3">
        <v>1</v>
      </c>
      <c r="AH7" s="3">
        <v>1</v>
      </c>
      <c r="AI7" s="3">
        <v>1</v>
      </c>
      <c r="AJ7" s="3">
        <v>1</v>
      </c>
      <c r="AK7" s="3">
        <v>1</v>
      </c>
      <c r="AL7" s="3">
        <v>1</v>
      </c>
      <c r="AM7" s="3">
        <v>1</v>
      </c>
      <c r="AN7" s="3">
        <v>1</v>
      </c>
      <c r="AO7" s="3">
        <v>1</v>
      </c>
      <c r="AP7" s="3">
        <v>1</v>
      </c>
      <c r="AQ7" s="3">
        <v>1</v>
      </c>
      <c r="AR7" s="3">
        <v>1</v>
      </c>
      <c r="AS7" s="3">
        <v>1</v>
      </c>
      <c r="AT7" s="3">
        <v>1</v>
      </c>
      <c r="AU7" s="3">
        <v>1</v>
      </c>
      <c r="AV7" s="3">
        <v>1</v>
      </c>
      <c r="AW7" s="3">
        <v>1</v>
      </c>
      <c r="AX7" s="3">
        <v>1</v>
      </c>
      <c r="AY7" s="3">
        <v>1</v>
      </c>
      <c r="AZ7" s="3">
        <v>1</v>
      </c>
      <c r="BA7" s="3">
        <v>1</v>
      </c>
      <c r="BB7" s="3">
        <v>1</v>
      </c>
      <c r="BC7" s="3">
        <v>1</v>
      </c>
      <c r="BD7" s="3">
        <v>1</v>
      </c>
      <c r="BE7" s="3">
        <v>1</v>
      </c>
      <c r="BF7" s="3">
        <v>1</v>
      </c>
      <c r="BG7" s="3">
        <v>1</v>
      </c>
      <c r="BH7" s="3">
        <v>1</v>
      </c>
      <c r="BI7" s="3">
        <v>1</v>
      </c>
      <c r="BJ7" s="3">
        <v>1</v>
      </c>
      <c r="BK7" s="3">
        <v>1</v>
      </c>
      <c r="BL7" s="3">
        <v>1</v>
      </c>
      <c r="BM7" s="3">
        <v>1</v>
      </c>
      <c r="BN7" s="3">
        <v>1</v>
      </c>
      <c r="BO7" s="3">
        <v>1</v>
      </c>
      <c r="BP7" s="3">
        <v>1</v>
      </c>
      <c r="BQ7" s="3">
        <v>1</v>
      </c>
      <c r="BR7" s="3">
        <v>1</v>
      </c>
      <c r="BS7" s="3">
        <v>1</v>
      </c>
      <c r="BT7" s="3">
        <v>1</v>
      </c>
      <c r="BU7" s="3">
        <v>1</v>
      </c>
      <c r="BV7" s="3">
        <v>1</v>
      </c>
      <c r="BW7" s="3">
        <v>1</v>
      </c>
      <c r="BX7" s="3">
        <v>1</v>
      </c>
      <c r="BY7" s="3">
        <v>1</v>
      </c>
      <c r="BZ7" s="3">
        <v>1</v>
      </c>
      <c r="CA7" s="3">
        <v>1</v>
      </c>
      <c r="CB7" s="3">
        <v>1</v>
      </c>
      <c r="CC7" s="3">
        <v>1</v>
      </c>
      <c r="CD7" s="3">
        <v>1</v>
      </c>
      <c r="CE7" s="3">
        <v>1</v>
      </c>
      <c r="CF7" s="3">
        <v>1</v>
      </c>
      <c r="CG7" s="3">
        <v>1</v>
      </c>
      <c r="CH7" s="3">
        <v>1</v>
      </c>
      <c r="CI7" s="3">
        <v>1</v>
      </c>
      <c r="CJ7" s="3">
        <v>1</v>
      </c>
      <c r="CK7" s="3">
        <v>1</v>
      </c>
      <c r="CL7" s="3">
        <v>1</v>
      </c>
      <c r="CM7" s="3">
        <v>1</v>
      </c>
      <c r="CN7" s="3">
        <v>1</v>
      </c>
      <c r="CO7" s="3">
        <v>1</v>
      </c>
      <c r="CP7" s="3">
        <v>1</v>
      </c>
      <c r="CQ7" s="3">
        <v>1</v>
      </c>
      <c r="CR7" s="3">
        <v>1</v>
      </c>
      <c r="CS7" s="3">
        <v>1</v>
      </c>
      <c r="CT7" s="3">
        <v>1</v>
      </c>
      <c r="CU7" s="3">
        <v>1</v>
      </c>
      <c r="CV7" s="3">
        <v>1</v>
      </c>
      <c r="CW7" s="3">
        <v>1</v>
      </c>
      <c r="CX7" s="3">
        <v>1</v>
      </c>
      <c r="CY7" s="3">
        <v>1</v>
      </c>
      <c r="CZ7" s="3">
        <v>1</v>
      </c>
      <c r="DA7" s="3">
        <v>1</v>
      </c>
      <c r="DB7" s="3">
        <v>1</v>
      </c>
      <c r="DC7" s="3">
        <v>1</v>
      </c>
      <c r="DD7" s="3">
        <v>1</v>
      </c>
      <c r="DE7" s="3">
        <v>1</v>
      </c>
      <c r="DF7" s="3">
        <v>1</v>
      </c>
      <c r="DG7" s="3">
        <v>1</v>
      </c>
      <c r="DH7" s="3">
        <v>1</v>
      </c>
      <c r="DI7" s="3">
        <v>1</v>
      </c>
      <c r="DJ7" s="3">
        <v>1</v>
      </c>
      <c r="DK7" s="3">
        <v>1</v>
      </c>
      <c r="DL7" s="3">
        <v>1</v>
      </c>
      <c r="DM7" s="3">
        <v>1</v>
      </c>
      <c r="DN7" s="3">
        <v>1</v>
      </c>
      <c r="DO7" s="3">
        <v>1</v>
      </c>
      <c r="DP7" s="3">
        <v>1</v>
      </c>
      <c r="DQ7" s="3">
        <v>1</v>
      </c>
      <c r="DR7" s="3">
        <v>1</v>
      </c>
      <c r="DS7" s="3">
        <v>1</v>
      </c>
      <c r="DT7" s="3">
        <v>1</v>
      </c>
      <c r="DU7" s="3">
        <v>1</v>
      </c>
      <c r="DV7" s="3">
        <v>1</v>
      </c>
      <c r="DW7" s="3">
        <v>1</v>
      </c>
      <c r="DX7" s="3">
        <v>1</v>
      </c>
      <c r="DY7" s="3">
        <v>1</v>
      </c>
      <c r="DZ7" s="3">
        <v>1</v>
      </c>
      <c r="EA7" s="3">
        <v>1</v>
      </c>
      <c r="EB7" s="3">
        <v>1</v>
      </c>
      <c r="EC7" s="3">
        <v>1</v>
      </c>
      <c r="ED7" s="3">
        <v>1</v>
      </c>
      <c r="EE7" s="3">
        <v>1</v>
      </c>
      <c r="EF7" s="3">
        <v>1</v>
      </c>
      <c r="EG7" s="3">
        <v>1</v>
      </c>
      <c r="EH7" s="3">
        <v>1</v>
      </c>
      <c r="EI7" s="3">
        <v>1</v>
      </c>
      <c r="EJ7" s="3">
        <v>1</v>
      </c>
      <c r="EK7" s="3">
        <v>1</v>
      </c>
      <c r="EL7" s="3">
        <v>1</v>
      </c>
      <c r="EM7" s="3">
        <v>1</v>
      </c>
      <c r="EN7" s="3">
        <v>1</v>
      </c>
      <c r="EO7" s="3">
        <v>1</v>
      </c>
      <c r="EP7" s="9">
        <v>1</v>
      </c>
    </row>
    <row r="8" spans="1:147" x14ac:dyDescent="0.3">
      <c r="A8" s="8" t="s">
        <v>39</v>
      </c>
      <c r="B8" s="3" t="s">
        <v>40</v>
      </c>
      <c r="C8" s="3">
        <v>1</v>
      </c>
      <c r="D8" s="3">
        <v>1</v>
      </c>
      <c r="E8" s="3">
        <v>1</v>
      </c>
      <c r="F8" s="3">
        <v>1</v>
      </c>
      <c r="G8" s="3">
        <v>1</v>
      </c>
      <c r="H8" s="3">
        <v>1</v>
      </c>
      <c r="I8" s="3">
        <v>1</v>
      </c>
      <c r="J8" s="3">
        <v>1</v>
      </c>
      <c r="K8" s="3">
        <v>1</v>
      </c>
      <c r="L8" s="3">
        <v>1</v>
      </c>
      <c r="M8" s="3">
        <v>1</v>
      </c>
      <c r="N8" s="3">
        <v>1</v>
      </c>
      <c r="O8" s="3">
        <v>1</v>
      </c>
      <c r="P8" s="3">
        <v>1</v>
      </c>
      <c r="Q8" s="3">
        <v>1</v>
      </c>
      <c r="R8" s="3">
        <v>1</v>
      </c>
      <c r="S8" s="3">
        <v>1</v>
      </c>
      <c r="T8" s="3">
        <v>1</v>
      </c>
      <c r="U8" s="3">
        <v>1</v>
      </c>
      <c r="V8" s="3">
        <v>1</v>
      </c>
      <c r="W8" s="3">
        <v>1</v>
      </c>
      <c r="X8" s="3">
        <v>1</v>
      </c>
      <c r="Y8" s="3">
        <v>1</v>
      </c>
      <c r="Z8" s="3">
        <v>1</v>
      </c>
      <c r="AA8" s="3">
        <v>1</v>
      </c>
      <c r="AB8" s="3">
        <v>1</v>
      </c>
      <c r="AC8" s="3">
        <v>1</v>
      </c>
      <c r="AD8" s="3">
        <v>1</v>
      </c>
      <c r="AE8" s="3">
        <v>1</v>
      </c>
      <c r="AF8" s="3">
        <v>1</v>
      </c>
      <c r="AG8" s="3">
        <v>1</v>
      </c>
      <c r="AH8" s="3">
        <v>1</v>
      </c>
      <c r="AI8" s="3">
        <v>1</v>
      </c>
      <c r="AJ8" s="3">
        <v>1</v>
      </c>
      <c r="AK8" s="3">
        <v>1</v>
      </c>
      <c r="AL8" s="3">
        <v>1</v>
      </c>
      <c r="AM8" s="3">
        <v>1</v>
      </c>
      <c r="AN8" s="3">
        <v>1</v>
      </c>
      <c r="AO8" s="3">
        <v>1</v>
      </c>
      <c r="AP8" s="3">
        <v>1</v>
      </c>
      <c r="AQ8" s="3">
        <v>1</v>
      </c>
      <c r="AR8" s="3">
        <v>1</v>
      </c>
      <c r="AS8" s="3">
        <v>1</v>
      </c>
      <c r="AT8" s="3">
        <v>1</v>
      </c>
      <c r="AU8" s="3">
        <v>1</v>
      </c>
      <c r="AV8" s="3">
        <v>1</v>
      </c>
      <c r="AW8" s="3">
        <v>1</v>
      </c>
      <c r="AX8" s="3">
        <v>1</v>
      </c>
      <c r="AY8" s="3">
        <v>1</v>
      </c>
      <c r="AZ8" s="3">
        <v>1</v>
      </c>
      <c r="BA8" s="3">
        <v>1</v>
      </c>
      <c r="BB8" s="3">
        <v>1</v>
      </c>
      <c r="BC8" s="3">
        <v>1</v>
      </c>
      <c r="BD8" s="3">
        <v>1</v>
      </c>
      <c r="BE8" s="3">
        <v>1</v>
      </c>
      <c r="BF8" s="3">
        <v>1</v>
      </c>
      <c r="BG8" s="3">
        <v>1</v>
      </c>
      <c r="BH8" s="3">
        <v>1</v>
      </c>
      <c r="BI8" s="3">
        <v>1</v>
      </c>
      <c r="BJ8" s="3">
        <v>1</v>
      </c>
      <c r="BK8" s="3">
        <v>1</v>
      </c>
      <c r="BL8" s="3">
        <v>1</v>
      </c>
      <c r="BM8" s="3">
        <v>1</v>
      </c>
      <c r="BN8" s="3">
        <v>1</v>
      </c>
      <c r="BO8" s="3">
        <v>1</v>
      </c>
      <c r="BP8" s="3">
        <v>1</v>
      </c>
      <c r="BQ8" s="3">
        <v>1</v>
      </c>
      <c r="BR8" s="3">
        <v>1</v>
      </c>
      <c r="BS8" s="3">
        <v>1</v>
      </c>
      <c r="BT8" s="3">
        <v>1</v>
      </c>
      <c r="BU8" s="3">
        <v>1</v>
      </c>
      <c r="BV8" s="3">
        <v>1</v>
      </c>
      <c r="BW8" s="3">
        <v>1</v>
      </c>
      <c r="BX8" s="3">
        <v>1</v>
      </c>
      <c r="BY8" s="3">
        <v>1</v>
      </c>
      <c r="BZ8" s="3">
        <v>1</v>
      </c>
      <c r="CA8" s="3">
        <v>1</v>
      </c>
      <c r="CB8" s="3">
        <v>1</v>
      </c>
      <c r="CC8" s="3">
        <v>1</v>
      </c>
      <c r="CD8" s="3">
        <v>1</v>
      </c>
      <c r="CE8" s="3">
        <v>1</v>
      </c>
      <c r="CF8" s="3">
        <v>1</v>
      </c>
      <c r="CG8" s="3">
        <v>1</v>
      </c>
      <c r="CH8" s="3">
        <v>1</v>
      </c>
      <c r="CI8" s="3">
        <v>1</v>
      </c>
      <c r="CJ8" s="3">
        <v>1</v>
      </c>
      <c r="CK8" s="3">
        <v>1</v>
      </c>
      <c r="CL8" s="3">
        <v>1</v>
      </c>
      <c r="CM8" s="3">
        <v>1</v>
      </c>
      <c r="CN8" s="3">
        <v>1</v>
      </c>
      <c r="CO8" s="3">
        <v>1</v>
      </c>
      <c r="CP8" s="3">
        <v>1</v>
      </c>
      <c r="CQ8" s="3">
        <v>1</v>
      </c>
      <c r="CR8" s="3">
        <v>1</v>
      </c>
      <c r="CS8" s="3">
        <v>1</v>
      </c>
      <c r="CT8" s="3">
        <v>1</v>
      </c>
      <c r="CU8" s="3">
        <v>1</v>
      </c>
      <c r="CV8" s="3">
        <v>1</v>
      </c>
      <c r="CW8" s="3">
        <v>1</v>
      </c>
      <c r="CX8" s="3">
        <v>1</v>
      </c>
      <c r="CY8" s="3">
        <v>1</v>
      </c>
      <c r="CZ8" s="3">
        <v>1</v>
      </c>
      <c r="DA8" s="3">
        <v>1</v>
      </c>
      <c r="DB8" s="3">
        <v>1</v>
      </c>
      <c r="DC8" s="3">
        <v>1</v>
      </c>
      <c r="DD8" s="3">
        <v>1</v>
      </c>
      <c r="DE8" s="3">
        <v>1</v>
      </c>
      <c r="DF8" s="3">
        <v>1</v>
      </c>
      <c r="DG8" s="3">
        <v>1</v>
      </c>
      <c r="DH8" s="3">
        <v>1</v>
      </c>
      <c r="DI8" s="3">
        <v>1</v>
      </c>
      <c r="DJ8" s="3">
        <v>1</v>
      </c>
      <c r="DK8" s="3">
        <v>1</v>
      </c>
      <c r="DL8" s="3">
        <v>1</v>
      </c>
      <c r="DM8" s="3">
        <v>1</v>
      </c>
      <c r="DN8" s="3">
        <v>1</v>
      </c>
      <c r="DO8" s="3">
        <v>1</v>
      </c>
      <c r="DP8" s="3">
        <v>1</v>
      </c>
      <c r="DQ8" s="3">
        <v>1</v>
      </c>
      <c r="DR8" s="3">
        <v>1</v>
      </c>
      <c r="DS8" s="3">
        <v>1</v>
      </c>
      <c r="DT8" s="3">
        <v>1</v>
      </c>
      <c r="DU8" s="3">
        <v>1</v>
      </c>
      <c r="DV8" s="3">
        <v>1</v>
      </c>
      <c r="DW8" s="3">
        <v>1</v>
      </c>
      <c r="DX8" s="3">
        <v>1</v>
      </c>
      <c r="DY8" s="3">
        <v>1</v>
      </c>
      <c r="DZ8" s="3">
        <v>1</v>
      </c>
      <c r="EA8" s="3">
        <v>1</v>
      </c>
      <c r="EB8" s="3">
        <v>1</v>
      </c>
      <c r="EC8" s="3">
        <v>1</v>
      </c>
      <c r="ED8" s="3">
        <v>1</v>
      </c>
      <c r="EE8" s="3">
        <v>1</v>
      </c>
      <c r="EF8" s="3">
        <v>1</v>
      </c>
      <c r="EG8" s="3">
        <v>1</v>
      </c>
      <c r="EH8" s="3">
        <v>1</v>
      </c>
      <c r="EI8" s="3">
        <v>1</v>
      </c>
      <c r="EJ8" s="3">
        <v>1</v>
      </c>
      <c r="EK8" s="3">
        <v>1</v>
      </c>
      <c r="EL8" s="3">
        <v>1</v>
      </c>
      <c r="EM8" s="3">
        <v>1</v>
      </c>
      <c r="EN8" s="3">
        <v>1</v>
      </c>
      <c r="EO8" s="3">
        <v>1</v>
      </c>
      <c r="EP8" s="9">
        <v>1</v>
      </c>
    </row>
    <row r="9" spans="1:147" x14ac:dyDescent="0.3">
      <c r="A9" s="8" t="s">
        <v>41</v>
      </c>
      <c r="B9" s="3" t="s">
        <v>42</v>
      </c>
      <c r="C9" s="3">
        <v>1</v>
      </c>
      <c r="D9" s="3">
        <v>1</v>
      </c>
      <c r="E9" s="3">
        <v>1</v>
      </c>
      <c r="F9" s="3">
        <v>1</v>
      </c>
      <c r="G9" s="3">
        <v>1</v>
      </c>
      <c r="H9" s="3">
        <v>1</v>
      </c>
      <c r="I9" s="3">
        <v>1</v>
      </c>
      <c r="J9" s="3">
        <v>1</v>
      </c>
      <c r="K9" s="3">
        <v>1</v>
      </c>
      <c r="L9" s="3">
        <v>1</v>
      </c>
      <c r="M9" s="3">
        <v>1</v>
      </c>
      <c r="N9" s="3">
        <v>1</v>
      </c>
      <c r="O9" s="3">
        <v>1</v>
      </c>
      <c r="P9" s="3">
        <v>1</v>
      </c>
      <c r="Q9" s="3">
        <v>1</v>
      </c>
      <c r="R9" s="3">
        <v>1</v>
      </c>
      <c r="S9" s="3">
        <v>1</v>
      </c>
      <c r="T9" s="3">
        <v>1</v>
      </c>
      <c r="U9" s="3">
        <v>1</v>
      </c>
      <c r="V9" s="3">
        <v>1</v>
      </c>
      <c r="W9" s="3">
        <v>1</v>
      </c>
      <c r="X9" s="3">
        <v>1</v>
      </c>
      <c r="Y9" s="3">
        <v>1</v>
      </c>
      <c r="Z9" s="3">
        <v>1</v>
      </c>
      <c r="AA9" s="3">
        <v>1</v>
      </c>
      <c r="AB9" s="3">
        <v>1</v>
      </c>
      <c r="AC9" s="3">
        <v>1</v>
      </c>
      <c r="AD9" s="3">
        <v>1</v>
      </c>
      <c r="AE9" s="3">
        <v>1</v>
      </c>
      <c r="AF9" s="3">
        <v>1</v>
      </c>
      <c r="AG9" s="3">
        <v>1</v>
      </c>
      <c r="AH9" s="3">
        <v>1</v>
      </c>
      <c r="AI9" s="3">
        <v>1</v>
      </c>
      <c r="AJ9" s="3">
        <v>1</v>
      </c>
      <c r="AK9" s="3">
        <v>1</v>
      </c>
      <c r="AL9" s="3">
        <v>1</v>
      </c>
      <c r="AM9" s="3">
        <v>1</v>
      </c>
      <c r="AN9" s="3">
        <v>1</v>
      </c>
      <c r="AO9" s="3">
        <v>1</v>
      </c>
      <c r="AP9" s="3">
        <v>1</v>
      </c>
      <c r="AQ9" s="3">
        <v>1</v>
      </c>
      <c r="AR9" s="3">
        <v>1</v>
      </c>
      <c r="AS9" s="3">
        <v>1</v>
      </c>
      <c r="AT9" s="3">
        <v>1</v>
      </c>
      <c r="AU9" s="3">
        <v>1</v>
      </c>
      <c r="AV9" s="3">
        <v>1</v>
      </c>
      <c r="AW9" s="3">
        <v>1</v>
      </c>
      <c r="AX9" s="3">
        <v>1</v>
      </c>
      <c r="AY9" s="3">
        <v>1</v>
      </c>
      <c r="AZ9" s="3">
        <v>1</v>
      </c>
      <c r="BA9" s="3">
        <v>1</v>
      </c>
      <c r="BB9" s="3">
        <v>1</v>
      </c>
      <c r="BC9" s="3">
        <v>1</v>
      </c>
      <c r="BD9" s="3">
        <v>1</v>
      </c>
      <c r="BE9" s="3">
        <v>1</v>
      </c>
      <c r="BF9" s="3">
        <v>1</v>
      </c>
      <c r="BG9" s="3">
        <v>1</v>
      </c>
      <c r="BH9" s="3">
        <v>1</v>
      </c>
      <c r="BI9" s="3">
        <v>1</v>
      </c>
      <c r="BJ9" s="3">
        <v>1</v>
      </c>
      <c r="BK9" s="3">
        <v>1</v>
      </c>
      <c r="BL9" s="3">
        <v>1</v>
      </c>
      <c r="BM9" s="3">
        <v>1</v>
      </c>
      <c r="BN9" s="3">
        <v>1</v>
      </c>
      <c r="BO9" s="3">
        <v>1</v>
      </c>
      <c r="BP9" s="3">
        <v>1</v>
      </c>
      <c r="BQ9" s="3">
        <v>1</v>
      </c>
      <c r="BR9" s="3">
        <v>1</v>
      </c>
      <c r="BS9" s="3">
        <v>1</v>
      </c>
      <c r="BT9" s="3">
        <v>1</v>
      </c>
      <c r="BU9" s="3">
        <v>1</v>
      </c>
      <c r="BV9" s="3">
        <v>1</v>
      </c>
      <c r="BW9" s="3">
        <v>1</v>
      </c>
      <c r="BX9" s="3">
        <v>1</v>
      </c>
      <c r="BY9" s="3">
        <v>1</v>
      </c>
      <c r="BZ9" s="3">
        <v>1</v>
      </c>
      <c r="CA9" s="3">
        <v>1</v>
      </c>
      <c r="CB9" s="3">
        <v>1</v>
      </c>
      <c r="CC9" s="3">
        <v>1</v>
      </c>
      <c r="CD9" s="3">
        <v>1</v>
      </c>
      <c r="CE9" s="3">
        <v>1</v>
      </c>
      <c r="CF9" s="3">
        <v>1</v>
      </c>
      <c r="CG9" s="3">
        <v>1</v>
      </c>
      <c r="CH9" s="3">
        <v>1</v>
      </c>
      <c r="CI9" s="3">
        <v>1</v>
      </c>
      <c r="CJ9" s="3">
        <v>1</v>
      </c>
      <c r="CK9" s="3">
        <v>1</v>
      </c>
      <c r="CL9" s="3">
        <v>1</v>
      </c>
      <c r="CM9" s="3">
        <v>1</v>
      </c>
      <c r="CN9" s="3">
        <v>1</v>
      </c>
      <c r="CO9" s="3">
        <v>1</v>
      </c>
      <c r="CP9" s="3">
        <v>1</v>
      </c>
      <c r="CQ9" s="3">
        <v>1</v>
      </c>
      <c r="CR9" s="3">
        <v>1</v>
      </c>
      <c r="CS9" s="3">
        <v>1</v>
      </c>
      <c r="CT9" s="3">
        <v>1</v>
      </c>
      <c r="CU9" s="3">
        <v>1</v>
      </c>
      <c r="CV9" s="3">
        <v>1</v>
      </c>
      <c r="CW9" s="3">
        <v>1</v>
      </c>
      <c r="CX9" s="3">
        <v>1</v>
      </c>
      <c r="CY9" s="3">
        <v>1</v>
      </c>
      <c r="CZ9" s="3">
        <v>1</v>
      </c>
      <c r="DA9" s="3">
        <v>1</v>
      </c>
      <c r="DB9" s="3">
        <v>1</v>
      </c>
      <c r="DC9" s="3">
        <v>1</v>
      </c>
      <c r="DD9" s="3">
        <v>1</v>
      </c>
      <c r="DE9" s="3">
        <v>1</v>
      </c>
      <c r="DF9" s="3">
        <v>1</v>
      </c>
      <c r="DG9" s="3">
        <v>1</v>
      </c>
      <c r="DH9" s="3">
        <v>1</v>
      </c>
      <c r="DI9" s="3">
        <v>1</v>
      </c>
      <c r="DJ9" s="3">
        <v>1</v>
      </c>
      <c r="DK9" s="3">
        <v>1</v>
      </c>
      <c r="DL9" s="3">
        <v>1</v>
      </c>
      <c r="DM9" s="3">
        <v>1</v>
      </c>
      <c r="DN9" s="3">
        <v>1</v>
      </c>
      <c r="DO9" s="3">
        <v>1</v>
      </c>
      <c r="DP9" s="3">
        <v>1</v>
      </c>
      <c r="DQ9" s="3">
        <v>1</v>
      </c>
      <c r="DR9" s="3">
        <v>1</v>
      </c>
      <c r="DS9" s="3">
        <v>1</v>
      </c>
      <c r="DT9" s="3">
        <v>1</v>
      </c>
      <c r="DU9" s="3">
        <v>1</v>
      </c>
      <c r="DV9" s="3">
        <v>1</v>
      </c>
      <c r="DW9" s="3">
        <v>1</v>
      </c>
      <c r="DX9" s="3">
        <v>1</v>
      </c>
      <c r="DY9" s="3">
        <v>1</v>
      </c>
      <c r="DZ9" s="3">
        <v>1</v>
      </c>
      <c r="EA9" s="3">
        <v>1</v>
      </c>
      <c r="EB9" s="3">
        <v>1</v>
      </c>
      <c r="EC9" s="3">
        <v>1</v>
      </c>
      <c r="ED9" s="3">
        <v>1</v>
      </c>
      <c r="EE9" s="3">
        <v>1</v>
      </c>
      <c r="EF9" s="3">
        <v>1</v>
      </c>
      <c r="EG9" s="3">
        <v>1</v>
      </c>
      <c r="EH9" s="3">
        <v>1</v>
      </c>
      <c r="EI9" s="3">
        <v>1</v>
      </c>
      <c r="EJ9" s="3">
        <v>1</v>
      </c>
      <c r="EK9" s="3">
        <v>1</v>
      </c>
      <c r="EL9" s="3">
        <v>1</v>
      </c>
      <c r="EM9" s="3">
        <v>1</v>
      </c>
      <c r="EN9" s="3">
        <v>1</v>
      </c>
      <c r="EO9" s="3">
        <v>1</v>
      </c>
      <c r="EP9" s="9">
        <v>1</v>
      </c>
    </row>
    <row r="10" spans="1:147" x14ac:dyDescent="0.3">
      <c r="A10" s="8" t="s">
        <v>43</v>
      </c>
      <c r="B10" s="3" t="s">
        <v>44</v>
      </c>
      <c r="C10" s="3">
        <v>1</v>
      </c>
      <c r="D10" s="3">
        <v>1</v>
      </c>
      <c r="E10" s="3">
        <v>1</v>
      </c>
      <c r="F10" s="3">
        <v>1</v>
      </c>
      <c r="G10" s="3">
        <v>1</v>
      </c>
      <c r="H10" s="3">
        <v>1</v>
      </c>
      <c r="I10" s="3">
        <v>1</v>
      </c>
      <c r="J10" s="3">
        <v>1</v>
      </c>
      <c r="K10" s="3">
        <v>1</v>
      </c>
      <c r="L10" s="3">
        <v>1</v>
      </c>
      <c r="M10" s="3">
        <v>1</v>
      </c>
      <c r="N10" s="3">
        <v>1</v>
      </c>
      <c r="O10" s="3">
        <v>1</v>
      </c>
      <c r="P10" s="3">
        <v>1</v>
      </c>
      <c r="Q10" s="3">
        <v>1</v>
      </c>
      <c r="R10" s="3">
        <v>1</v>
      </c>
      <c r="S10" s="3">
        <v>1</v>
      </c>
      <c r="T10" s="3">
        <v>1</v>
      </c>
      <c r="U10" s="3">
        <v>1</v>
      </c>
      <c r="V10" s="3">
        <v>1</v>
      </c>
      <c r="W10" s="3">
        <v>1</v>
      </c>
      <c r="X10" s="3">
        <v>1</v>
      </c>
      <c r="Y10" s="3">
        <v>1</v>
      </c>
      <c r="Z10" s="3">
        <v>1</v>
      </c>
      <c r="AA10" s="3">
        <v>1</v>
      </c>
      <c r="AB10" s="3">
        <v>1</v>
      </c>
      <c r="AC10" s="3">
        <v>1</v>
      </c>
      <c r="AD10" s="3">
        <v>1</v>
      </c>
      <c r="AE10" s="3">
        <v>1</v>
      </c>
      <c r="AF10" s="3">
        <v>1</v>
      </c>
      <c r="AG10" s="3">
        <v>1</v>
      </c>
      <c r="AH10" s="3">
        <v>1</v>
      </c>
      <c r="AI10" s="3">
        <v>1</v>
      </c>
      <c r="AJ10" s="3">
        <v>1</v>
      </c>
      <c r="AK10" s="3">
        <v>1</v>
      </c>
      <c r="AL10" s="3">
        <v>1</v>
      </c>
      <c r="AM10" s="3">
        <v>1</v>
      </c>
      <c r="AN10" s="3">
        <v>1</v>
      </c>
      <c r="AO10" s="3">
        <v>1</v>
      </c>
      <c r="AP10" s="3">
        <v>1</v>
      </c>
      <c r="AQ10" s="3">
        <v>1</v>
      </c>
      <c r="AR10" s="3">
        <v>1</v>
      </c>
      <c r="AS10" s="3">
        <v>1</v>
      </c>
      <c r="AT10" s="3">
        <v>1</v>
      </c>
      <c r="AU10" s="3">
        <v>1</v>
      </c>
      <c r="AV10" s="3">
        <v>1</v>
      </c>
      <c r="AW10" s="3">
        <v>1</v>
      </c>
      <c r="AX10" s="3">
        <v>1</v>
      </c>
      <c r="AY10" s="3">
        <v>1</v>
      </c>
      <c r="AZ10" s="3">
        <v>1</v>
      </c>
      <c r="BA10" s="3">
        <v>1</v>
      </c>
      <c r="BB10" s="3">
        <v>1</v>
      </c>
      <c r="BC10" s="3">
        <v>1</v>
      </c>
      <c r="BD10" s="3">
        <v>1</v>
      </c>
      <c r="BE10" s="3">
        <v>1</v>
      </c>
      <c r="BF10" s="3">
        <v>1</v>
      </c>
      <c r="BG10" s="3">
        <v>1</v>
      </c>
      <c r="BH10" s="3">
        <v>1</v>
      </c>
      <c r="BI10" s="3">
        <v>1</v>
      </c>
      <c r="BJ10" s="3">
        <v>1</v>
      </c>
      <c r="BK10" s="3">
        <v>1</v>
      </c>
      <c r="BL10" s="3">
        <v>1</v>
      </c>
      <c r="BM10" s="3">
        <v>1</v>
      </c>
      <c r="BN10" s="3">
        <v>1</v>
      </c>
      <c r="BO10" s="3">
        <v>1</v>
      </c>
      <c r="BP10" s="3">
        <v>1</v>
      </c>
      <c r="BQ10" s="3">
        <v>1</v>
      </c>
      <c r="BR10" s="3">
        <v>1</v>
      </c>
      <c r="BS10" s="3">
        <v>1</v>
      </c>
      <c r="BT10" s="3">
        <v>1</v>
      </c>
      <c r="BU10" s="3">
        <v>1</v>
      </c>
      <c r="BV10" s="3">
        <v>1</v>
      </c>
      <c r="BW10" s="3">
        <v>1</v>
      </c>
      <c r="BX10" s="3">
        <v>1</v>
      </c>
      <c r="BY10" s="3">
        <v>1</v>
      </c>
      <c r="BZ10" s="3">
        <v>1</v>
      </c>
      <c r="CA10" s="3">
        <v>1</v>
      </c>
      <c r="CB10" s="3">
        <v>1</v>
      </c>
      <c r="CC10" s="3">
        <v>1</v>
      </c>
      <c r="CD10" s="3">
        <v>1</v>
      </c>
      <c r="CE10" s="3">
        <v>1</v>
      </c>
      <c r="CF10" s="3">
        <v>1</v>
      </c>
      <c r="CG10" s="3">
        <v>1</v>
      </c>
      <c r="CH10" s="3">
        <v>1</v>
      </c>
      <c r="CI10" s="3">
        <v>1</v>
      </c>
      <c r="CJ10" s="3">
        <v>1</v>
      </c>
      <c r="CK10" s="3">
        <v>1</v>
      </c>
      <c r="CL10" s="3">
        <v>1</v>
      </c>
      <c r="CM10" s="3">
        <v>1</v>
      </c>
      <c r="CN10" s="3">
        <v>1</v>
      </c>
      <c r="CO10" s="3">
        <v>1</v>
      </c>
      <c r="CP10" s="3">
        <v>1</v>
      </c>
      <c r="CQ10" s="3">
        <v>1</v>
      </c>
      <c r="CR10" s="3">
        <v>1</v>
      </c>
      <c r="CS10" s="3">
        <v>1</v>
      </c>
      <c r="CT10" s="3">
        <v>1</v>
      </c>
      <c r="CU10" s="3">
        <v>1</v>
      </c>
      <c r="CV10" s="3">
        <v>1</v>
      </c>
      <c r="CW10" s="3">
        <v>1</v>
      </c>
      <c r="CX10" s="3">
        <v>1</v>
      </c>
      <c r="CY10" s="3">
        <v>1</v>
      </c>
      <c r="CZ10" s="3">
        <v>1</v>
      </c>
      <c r="DA10" s="3">
        <v>1</v>
      </c>
      <c r="DB10" s="3">
        <v>1</v>
      </c>
      <c r="DC10" s="3">
        <v>1</v>
      </c>
      <c r="DD10" s="3">
        <v>1</v>
      </c>
      <c r="DE10" s="3">
        <v>1</v>
      </c>
      <c r="DF10" s="3">
        <v>1</v>
      </c>
      <c r="DG10" s="3">
        <v>1</v>
      </c>
      <c r="DH10" s="3">
        <v>1</v>
      </c>
      <c r="DI10" s="3">
        <v>1</v>
      </c>
      <c r="DJ10" s="3">
        <v>1</v>
      </c>
      <c r="DK10" s="3">
        <v>1</v>
      </c>
      <c r="DL10" s="3">
        <v>1</v>
      </c>
      <c r="DM10" s="3">
        <v>1</v>
      </c>
      <c r="DN10" s="3">
        <v>1</v>
      </c>
      <c r="DO10" s="3">
        <v>1</v>
      </c>
      <c r="DP10" s="3">
        <v>1</v>
      </c>
      <c r="DQ10" s="3">
        <v>1</v>
      </c>
      <c r="DR10" s="3">
        <v>1</v>
      </c>
      <c r="DS10" s="3">
        <v>1</v>
      </c>
      <c r="DT10" s="3">
        <v>1</v>
      </c>
      <c r="DU10" s="3">
        <v>1</v>
      </c>
      <c r="DV10" s="3">
        <v>1</v>
      </c>
      <c r="DW10" s="3">
        <v>1</v>
      </c>
      <c r="DX10" s="3">
        <v>1</v>
      </c>
      <c r="DY10" s="3">
        <v>1</v>
      </c>
      <c r="DZ10" s="3">
        <v>1</v>
      </c>
      <c r="EA10" s="3">
        <v>1</v>
      </c>
      <c r="EB10" s="3">
        <v>1</v>
      </c>
      <c r="EC10" s="3">
        <v>1</v>
      </c>
      <c r="ED10" s="3">
        <v>1</v>
      </c>
      <c r="EE10" s="3">
        <v>1</v>
      </c>
      <c r="EF10" s="3">
        <v>1</v>
      </c>
      <c r="EG10" s="3">
        <v>1</v>
      </c>
      <c r="EH10" s="3">
        <v>1</v>
      </c>
      <c r="EI10" s="3">
        <v>1</v>
      </c>
      <c r="EJ10" s="3">
        <v>1</v>
      </c>
      <c r="EK10" s="3">
        <v>1</v>
      </c>
      <c r="EL10" s="3">
        <v>1</v>
      </c>
      <c r="EM10" s="3">
        <v>1</v>
      </c>
      <c r="EN10" s="3">
        <v>1</v>
      </c>
      <c r="EO10" s="3">
        <v>1</v>
      </c>
      <c r="EP10" s="9">
        <v>1</v>
      </c>
    </row>
    <row r="11" spans="1:147" x14ac:dyDescent="0.3">
      <c r="A11" s="8" t="s">
        <v>47</v>
      </c>
      <c r="B11" s="3" t="s">
        <v>48</v>
      </c>
      <c r="C11" s="3">
        <v>1</v>
      </c>
      <c r="D11" s="3">
        <v>1</v>
      </c>
      <c r="E11" s="3">
        <v>1</v>
      </c>
      <c r="F11" s="3">
        <v>1</v>
      </c>
      <c r="G11" s="3">
        <v>1</v>
      </c>
      <c r="H11" s="3">
        <v>1</v>
      </c>
      <c r="I11" s="3">
        <v>1</v>
      </c>
      <c r="J11" s="3">
        <v>1</v>
      </c>
      <c r="K11" s="3">
        <v>1</v>
      </c>
      <c r="L11" s="3">
        <v>1</v>
      </c>
      <c r="M11" s="3">
        <v>1</v>
      </c>
      <c r="N11" s="3">
        <v>1</v>
      </c>
      <c r="O11" s="3">
        <v>1</v>
      </c>
      <c r="P11" s="3">
        <v>1</v>
      </c>
      <c r="Q11" s="3">
        <v>1</v>
      </c>
      <c r="R11" s="3">
        <v>1</v>
      </c>
      <c r="S11" s="3">
        <v>1</v>
      </c>
      <c r="T11" s="3">
        <v>1</v>
      </c>
      <c r="U11" s="3">
        <v>1</v>
      </c>
      <c r="V11" s="3">
        <v>1</v>
      </c>
      <c r="W11" s="3">
        <v>1</v>
      </c>
      <c r="X11" s="3">
        <v>1</v>
      </c>
      <c r="Y11" s="3">
        <v>1</v>
      </c>
      <c r="Z11" s="3">
        <v>1</v>
      </c>
      <c r="AA11" s="3">
        <v>1</v>
      </c>
      <c r="AB11" s="3">
        <v>1</v>
      </c>
      <c r="AC11" s="3">
        <v>1</v>
      </c>
      <c r="AD11" s="3">
        <v>1</v>
      </c>
      <c r="AE11" s="3">
        <v>1</v>
      </c>
      <c r="AF11" s="3">
        <v>1</v>
      </c>
      <c r="AG11" s="3">
        <v>1</v>
      </c>
      <c r="AH11" s="3">
        <v>1</v>
      </c>
      <c r="AI11" s="3">
        <v>1</v>
      </c>
      <c r="AJ11" s="3">
        <v>1</v>
      </c>
      <c r="AK11" s="3">
        <v>1</v>
      </c>
      <c r="AL11" s="3">
        <v>1</v>
      </c>
      <c r="AM11" s="3">
        <v>1</v>
      </c>
      <c r="AN11" s="3">
        <v>1</v>
      </c>
      <c r="AO11" s="3">
        <v>1</v>
      </c>
      <c r="AP11" s="3">
        <v>1</v>
      </c>
      <c r="AQ11" s="3">
        <v>1</v>
      </c>
      <c r="AR11" s="3">
        <v>1</v>
      </c>
      <c r="AS11" s="3">
        <v>1</v>
      </c>
      <c r="AT11" s="3">
        <v>1</v>
      </c>
      <c r="AU11" s="3">
        <v>1</v>
      </c>
      <c r="AV11" s="3">
        <v>1</v>
      </c>
      <c r="AW11" s="3">
        <v>1</v>
      </c>
      <c r="AX11" s="3">
        <v>1</v>
      </c>
      <c r="AY11" s="3">
        <v>1</v>
      </c>
      <c r="AZ11" s="3">
        <v>1</v>
      </c>
      <c r="BA11" s="3">
        <v>1</v>
      </c>
      <c r="BB11" s="3">
        <v>1</v>
      </c>
      <c r="BC11" s="3">
        <v>1</v>
      </c>
      <c r="BD11" s="3">
        <v>1</v>
      </c>
      <c r="BE11" s="3">
        <v>1</v>
      </c>
      <c r="BF11" s="3">
        <v>1</v>
      </c>
      <c r="BG11" s="3">
        <v>1</v>
      </c>
      <c r="BH11" s="3">
        <v>1</v>
      </c>
      <c r="BI11" s="3">
        <v>1</v>
      </c>
      <c r="BJ11" s="3">
        <v>1</v>
      </c>
      <c r="BK11" s="3">
        <v>1</v>
      </c>
      <c r="BL11" s="3">
        <v>1</v>
      </c>
      <c r="BM11" s="3">
        <v>1</v>
      </c>
      <c r="BN11" s="3">
        <v>1</v>
      </c>
      <c r="BO11" s="3">
        <v>1</v>
      </c>
      <c r="BP11" s="3">
        <v>1</v>
      </c>
      <c r="BQ11" s="3">
        <v>1</v>
      </c>
      <c r="BR11" s="3">
        <v>1</v>
      </c>
      <c r="BS11" s="3">
        <v>1</v>
      </c>
      <c r="BT11" s="3">
        <v>1</v>
      </c>
      <c r="BU11" s="3">
        <v>1</v>
      </c>
      <c r="BV11" s="3">
        <v>1</v>
      </c>
      <c r="BW11" s="3">
        <v>1</v>
      </c>
      <c r="BX11" s="3">
        <v>1</v>
      </c>
      <c r="BY11" s="3">
        <v>1</v>
      </c>
      <c r="BZ11" s="3">
        <v>1</v>
      </c>
      <c r="CA11" s="3">
        <v>1</v>
      </c>
      <c r="CB11" s="3">
        <v>1</v>
      </c>
      <c r="CC11" s="3">
        <v>1</v>
      </c>
      <c r="CD11" s="3">
        <v>1</v>
      </c>
      <c r="CE11" s="3">
        <v>1</v>
      </c>
      <c r="CF11" s="3">
        <v>1</v>
      </c>
      <c r="CG11" s="3">
        <v>1</v>
      </c>
      <c r="CH11" s="3">
        <v>1</v>
      </c>
      <c r="CI11" s="3">
        <v>1</v>
      </c>
      <c r="CJ11" s="3">
        <v>1</v>
      </c>
      <c r="CK11" s="3">
        <v>1</v>
      </c>
      <c r="CL11" s="3">
        <v>1</v>
      </c>
      <c r="CM11" s="3">
        <v>1</v>
      </c>
      <c r="CN11" s="3">
        <v>1</v>
      </c>
      <c r="CO11" s="3">
        <v>1</v>
      </c>
      <c r="CP11" s="3">
        <v>1</v>
      </c>
      <c r="CQ11" s="3">
        <v>1</v>
      </c>
      <c r="CR11" s="3">
        <v>1</v>
      </c>
      <c r="CS11" s="3">
        <v>1</v>
      </c>
      <c r="CT11" s="3">
        <v>1</v>
      </c>
      <c r="CU11" s="3">
        <v>1</v>
      </c>
      <c r="CV11" s="3">
        <v>1</v>
      </c>
      <c r="CW11" s="3">
        <v>1</v>
      </c>
      <c r="CX11" s="3">
        <v>1</v>
      </c>
      <c r="CY11" s="3">
        <v>1</v>
      </c>
      <c r="CZ11" s="3">
        <v>1</v>
      </c>
      <c r="DA11" s="3">
        <v>1</v>
      </c>
      <c r="DB11" s="3">
        <v>1</v>
      </c>
      <c r="DC11" s="3">
        <v>1</v>
      </c>
      <c r="DD11" s="3">
        <v>1</v>
      </c>
      <c r="DE11" s="3">
        <v>1</v>
      </c>
      <c r="DF11" s="3">
        <v>1</v>
      </c>
      <c r="DG11" s="3">
        <v>1</v>
      </c>
      <c r="DH11" s="3">
        <v>1</v>
      </c>
      <c r="DI11" s="3">
        <v>1</v>
      </c>
      <c r="DJ11" s="3">
        <v>1</v>
      </c>
      <c r="DK11" s="3">
        <v>1</v>
      </c>
      <c r="DL11" s="3">
        <v>1</v>
      </c>
      <c r="DM11" s="3">
        <v>1</v>
      </c>
      <c r="DN11" s="3">
        <v>1</v>
      </c>
      <c r="DO11" s="3">
        <v>1</v>
      </c>
      <c r="DP11" s="3">
        <v>1</v>
      </c>
      <c r="DQ11" s="3">
        <v>1</v>
      </c>
      <c r="DR11" s="3">
        <v>1</v>
      </c>
      <c r="DS11" s="3">
        <v>1</v>
      </c>
      <c r="DT11" s="3">
        <v>1</v>
      </c>
      <c r="DU11" s="3">
        <v>1</v>
      </c>
      <c r="DV11" s="3">
        <v>1</v>
      </c>
      <c r="DW11" s="3">
        <v>1</v>
      </c>
      <c r="DX11" s="3">
        <v>1</v>
      </c>
      <c r="DY11" s="3">
        <v>1</v>
      </c>
      <c r="DZ11" s="3">
        <v>1</v>
      </c>
      <c r="EA11" s="3">
        <v>1</v>
      </c>
      <c r="EB11" s="3">
        <v>1</v>
      </c>
      <c r="EC11" s="3">
        <v>1</v>
      </c>
      <c r="ED11" s="3">
        <v>1</v>
      </c>
      <c r="EE11" s="3">
        <v>1</v>
      </c>
      <c r="EF11" s="3">
        <v>1</v>
      </c>
      <c r="EG11" s="3">
        <v>1</v>
      </c>
      <c r="EH11" s="3">
        <v>1</v>
      </c>
      <c r="EI11" s="3">
        <v>1</v>
      </c>
      <c r="EJ11" s="3">
        <v>1</v>
      </c>
      <c r="EK11" s="3">
        <v>1</v>
      </c>
      <c r="EL11" s="3">
        <v>1</v>
      </c>
      <c r="EM11" s="3">
        <v>1</v>
      </c>
      <c r="EN11" s="3">
        <v>1</v>
      </c>
      <c r="EO11" s="3">
        <v>1</v>
      </c>
      <c r="EP11" s="9">
        <v>1</v>
      </c>
    </row>
    <row r="12" spans="1:147" x14ac:dyDescent="0.3">
      <c r="A12" s="8" t="s">
        <v>49</v>
      </c>
      <c r="B12" s="3" t="s">
        <v>50</v>
      </c>
      <c r="C12" s="3">
        <v>1</v>
      </c>
      <c r="D12" s="3">
        <v>1</v>
      </c>
      <c r="E12" s="3">
        <v>1</v>
      </c>
      <c r="F12" s="3">
        <v>1</v>
      </c>
      <c r="G12" s="3">
        <v>1</v>
      </c>
      <c r="H12" s="3">
        <v>1</v>
      </c>
      <c r="I12" s="3">
        <v>1</v>
      </c>
      <c r="J12" s="3">
        <v>1</v>
      </c>
      <c r="K12" s="3">
        <v>1</v>
      </c>
      <c r="L12" s="3">
        <v>1</v>
      </c>
      <c r="M12" s="3">
        <v>1</v>
      </c>
      <c r="N12" s="3">
        <v>1</v>
      </c>
      <c r="O12" s="3">
        <v>1</v>
      </c>
      <c r="P12" s="3">
        <v>1</v>
      </c>
      <c r="Q12" s="3">
        <v>1</v>
      </c>
      <c r="R12" s="3">
        <v>1</v>
      </c>
      <c r="S12" s="3">
        <v>1</v>
      </c>
      <c r="T12" s="3">
        <v>1</v>
      </c>
      <c r="U12" s="3">
        <v>1</v>
      </c>
      <c r="V12" s="3">
        <v>1</v>
      </c>
      <c r="W12" s="3">
        <v>1</v>
      </c>
      <c r="X12" s="3">
        <v>1</v>
      </c>
      <c r="Y12" s="3">
        <v>1</v>
      </c>
      <c r="Z12" s="3">
        <v>1</v>
      </c>
      <c r="AA12" s="3">
        <v>1</v>
      </c>
      <c r="AB12" s="3">
        <v>1</v>
      </c>
      <c r="AC12" s="3">
        <v>1</v>
      </c>
      <c r="AD12" s="3">
        <v>1</v>
      </c>
      <c r="AE12" s="3">
        <v>1</v>
      </c>
      <c r="AF12" s="3">
        <v>1</v>
      </c>
      <c r="AG12" s="3">
        <v>1</v>
      </c>
      <c r="AH12" s="3">
        <v>1</v>
      </c>
      <c r="AI12" s="3">
        <v>1</v>
      </c>
      <c r="AJ12" s="3">
        <v>1</v>
      </c>
      <c r="AK12" s="3">
        <v>1</v>
      </c>
      <c r="AL12" s="3">
        <v>1</v>
      </c>
      <c r="AM12" s="3">
        <v>1</v>
      </c>
      <c r="AN12" s="3">
        <v>1</v>
      </c>
      <c r="AO12" s="3">
        <v>1</v>
      </c>
      <c r="AP12" s="3">
        <v>1</v>
      </c>
      <c r="AQ12" s="3">
        <v>1</v>
      </c>
      <c r="AR12" s="3">
        <v>1</v>
      </c>
      <c r="AS12" s="3">
        <v>1</v>
      </c>
      <c r="AT12" s="3">
        <v>1</v>
      </c>
      <c r="AU12" s="3">
        <v>1</v>
      </c>
      <c r="AV12" s="3">
        <v>1</v>
      </c>
      <c r="AW12" s="3">
        <v>1</v>
      </c>
      <c r="AX12" s="3">
        <v>1</v>
      </c>
      <c r="AY12" s="3">
        <v>1</v>
      </c>
      <c r="AZ12" s="3">
        <v>1</v>
      </c>
      <c r="BA12" s="3">
        <v>1</v>
      </c>
      <c r="BB12" s="3">
        <v>1</v>
      </c>
      <c r="BC12" s="3">
        <v>1</v>
      </c>
      <c r="BD12" s="3">
        <v>1</v>
      </c>
      <c r="BE12" s="3">
        <v>1</v>
      </c>
      <c r="BF12" s="3">
        <v>1</v>
      </c>
      <c r="BG12" s="3">
        <v>1</v>
      </c>
      <c r="BH12" s="3">
        <v>1</v>
      </c>
      <c r="BI12" s="3">
        <v>1</v>
      </c>
      <c r="BJ12" s="3">
        <v>1</v>
      </c>
      <c r="BK12" s="3">
        <v>1</v>
      </c>
      <c r="BL12" s="3">
        <v>1</v>
      </c>
      <c r="BM12" s="3">
        <v>1</v>
      </c>
      <c r="BN12" s="3">
        <v>1</v>
      </c>
      <c r="BO12" s="3">
        <v>1</v>
      </c>
      <c r="BP12" s="3">
        <v>1</v>
      </c>
      <c r="BQ12" s="3">
        <v>1</v>
      </c>
      <c r="BR12" s="3">
        <v>1</v>
      </c>
      <c r="BS12" s="3">
        <v>1</v>
      </c>
      <c r="BT12" s="3">
        <v>1</v>
      </c>
      <c r="BU12" s="3">
        <v>1</v>
      </c>
      <c r="BV12" s="3">
        <v>1</v>
      </c>
      <c r="BW12" s="3">
        <v>1</v>
      </c>
      <c r="BX12" s="3">
        <v>1</v>
      </c>
      <c r="BY12" s="3">
        <v>1</v>
      </c>
      <c r="BZ12" s="3">
        <v>1</v>
      </c>
      <c r="CA12" s="3">
        <v>1</v>
      </c>
      <c r="CB12" s="3">
        <v>1</v>
      </c>
      <c r="CC12" s="3">
        <v>1</v>
      </c>
      <c r="CD12" s="3">
        <v>1</v>
      </c>
      <c r="CE12" s="3">
        <v>1</v>
      </c>
      <c r="CF12" s="3">
        <v>1</v>
      </c>
      <c r="CG12" s="3">
        <v>1</v>
      </c>
      <c r="CH12" s="3">
        <v>1</v>
      </c>
      <c r="CI12" s="3">
        <v>1</v>
      </c>
      <c r="CJ12" s="3">
        <v>1</v>
      </c>
      <c r="CK12" s="3">
        <v>1</v>
      </c>
      <c r="CL12" s="3">
        <v>1</v>
      </c>
      <c r="CM12" s="3">
        <v>1</v>
      </c>
      <c r="CN12" s="3">
        <v>1</v>
      </c>
      <c r="CO12" s="3">
        <v>1</v>
      </c>
      <c r="CP12" s="3">
        <v>1</v>
      </c>
      <c r="CQ12" s="3">
        <v>1</v>
      </c>
      <c r="CR12" s="3">
        <v>1</v>
      </c>
      <c r="CS12" s="3">
        <v>1</v>
      </c>
      <c r="CT12" s="3">
        <v>1</v>
      </c>
      <c r="CU12" s="3">
        <v>1</v>
      </c>
      <c r="CV12" s="3">
        <v>1</v>
      </c>
      <c r="CW12" s="3">
        <v>1</v>
      </c>
      <c r="CX12" s="3">
        <v>1</v>
      </c>
      <c r="CY12" s="3">
        <v>1</v>
      </c>
      <c r="CZ12" s="3">
        <v>1</v>
      </c>
      <c r="DA12" s="3">
        <v>1</v>
      </c>
      <c r="DB12" s="3">
        <v>1</v>
      </c>
      <c r="DC12" s="3">
        <v>1</v>
      </c>
      <c r="DD12" s="3">
        <v>1</v>
      </c>
      <c r="DE12" s="3">
        <v>1</v>
      </c>
      <c r="DF12" s="3">
        <v>1</v>
      </c>
      <c r="DG12" s="3">
        <v>1</v>
      </c>
      <c r="DH12" s="3">
        <v>1</v>
      </c>
      <c r="DI12" s="3">
        <v>1</v>
      </c>
      <c r="DJ12" s="3">
        <v>1</v>
      </c>
      <c r="DK12" s="3">
        <v>1</v>
      </c>
      <c r="DL12" s="3">
        <v>1</v>
      </c>
      <c r="DM12" s="3">
        <v>1</v>
      </c>
      <c r="DN12" s="3">
        <v>1</v>
      </c>
      <c r="DO12" s="3">
        <v>1</v>
      </c>
      <c r="DP12" s="3">
        <v>1</v>
      </c>
      <c r="DQ12" s="3">
        <v>1</v>
      </c>
      <c r="DR12" s="3">
        <v>1</v>
      </c>
      <c r="DS12" s="3">
        <v>1</v>
      </c>
      <c r="DT12" s="3">
        <v>1</v>
      </c>
      <c r="DU12" s="3">
        <v>1</v>
      </c>
      <c r="DV12" s="3">
        <v>1</v>
      </c>
      <c r="DW12" s="3">
        <v>1</v>
      </c>
      <c r="DX12" s="3">
        <v>1</v>
      </c>
      <c r="DY12" s="3">
        <v>1</v>
      </c>
      <c r="DZ12" s="3">
        <v>1</v>
      </c>
      <c r="EA12" s="3">
        <v>1</v>
      </c>
      <c r="EB12" s="3">
        <v>1</v>
      </c>
      <c r="EC12" s="3">
        <v>1</v>
      </c>
      <c r="ED12" s="3">
        <v>1</v>
      </c>
      <c r="EE12" s="3">
        <v>1</v>
      </c>
      <c r="EF12" s="3">
        <v>1</v>
      </c>
      <c r="EG12" s="3">
        <v>1</v>
      </c>
      <c r="EH12" s="3">
        <v>1</v>
      </c>
      <c r="EI12" s="3">
        <v>1</v>
      </c>
      <c r="EJ12" s="3">
        <v>1</v>
      </c>
      <c r="EK12" s="3">
        <v>1</v>
      </c>
      <c r="EL12" s="3">
        <v>1</v>
      </c>
      <c r="EM12" s="3">
        <v>1</v>
      </c>
      <c r="EN12" s="3">
        <v>1</v>
      </c>
      <c r="EO12" s="3">
        <v>1</v>
      </c>
      <c r="EP12" s="9">
        <v>1</v>
      </c>
    </row>
    <row r="13" spans="1:147" x14ac:dyDescent="0.3">
      <c r="A13" s="8" t="s">
        <v>54</v>
      </c>
      <c r="B13" s="3" t="s">
        <v>55</v>
      </c>
      <c r="C13" s="3">
        <v>1</v>
      </c>
      <c r="D13" s="3">
        <v>1</v>
      </c>
      <c r="E13" s="3">
        <v>1</v>
      </c>
      <c r="F13" s="3">
        <v>1</v>
      </c>
      <c r="G13" s="3">
        <v>1</v>
      </c>
      <c r="H13" s="3">
        <v>1</v>
      </c>
      <c r="I13" s="3">
        <v>1</v>
      </c>
      <c r="J13" s="3">
        <v>1</v>
      </c>
      <c r="K13" s="3">
        <v>1</v>
      </c>
      <c r="L13" s="3">
        <v>1</v>
      </c>
      <c r="M13" s="3">
        <v>1</v>
      </c>
      <c r="N13" s="3">
        <v>1</v>
      </c>
      <c r="O13" s="3">
        <v>1</v>
      </c>
      <c r="P13" s="3">
        <v>1</v>
      </c>
      <c r="Q13" s="3">
        <v>1</v>
      </c>
      <c r="R13" s="3">
        <v>1</v>
      </c>
      <c r="S13" s="3">
        <v>1</v>
      </c>
      <c r="T13" s="3">
        <v>1</v>
      </c>
      <c r="U13" s="3">
        <v>1</v>
      </c>
      <c r="V13" s="3">
        <v>1</v>
      </c>
      <c r="W13" s="3">
        <v>1</v>
      </c>
      <c r="X13" s="3">
        <v>1</v>
      </c>
      <c r="Y13" s="3">
        <v>1</v>
      </c>
      <c r="Z13" s="3">
        <v>1</v>
      </c>
      <c r="AA13" s="3">
        <v>1</v>
      </c>
      <c r="AB13" s="3">
        <v>1</v>
      </c>
      <c r="AC13" s="3">
        <v>1</v>
      </c>
      <c r="AD13" s="3">
        <v>1</v>
      </c>
      <c r="AE13" s="3">
        <v>1</v>
      </c>
      <c r="AF13" s="3">
        <v>1</v>
      </c>
      <c r="AG13" s="3">
        <v>1</v>
      </c>
      <c r="AH13" s="3">
        <v>1</v>
      </c>
      <c r="AI13" s="3">
        <v>1</v>
      </c>
      <c r="AJ13" s="3">
        <v>1</v>
      </c>
      <c r="AK13" s="3">
        <v>1</v>
      </c>
      <c r="AL13" s="3">
        <v>1</v>
      </c>
      <c r="AM13" s="3">
        <v>1</v>
      </c>
      <c r="AN13" s="3">
        <v>1</v>
      </c>
      <c r="AO13" s="3">
        <v>1</v>
      </c>
      <c r="AP13" s="3">
        <v>1</v>
      </c>
      <c r="AQ13" s="3">
        <v>1</v>
      </c>
      <c r="AR13" s="3">
        <v>1</v>
      </c>
      <c r="AS13" s="3">
        <v>1</v>
      </c>
      <c r="AT13" s="3">
        <v>1</v>
      </c>
      <c r="AU13" s="3">
        <v>1</v>
      </c>
      <c r="AV13" s="3">
        <v>1</v>
      </c>
      <c r="AW13" s="3">
        <v>1</v>
      </c>
      <c r="AX13" s="3">
        <v>1</v>
      </c>
      <c r="AY13" s="3">
        <v>1</v>
      </c>
      <c r="AZ13" s="3">
        <v>1</v>
      </c>
      <c r="BA13" s="3">
        <v>1</v>
      </c>
      <c r="BB13" s="3">
        <v>1</v>
      </c>
      <c r="BC13" s="3">
        <v>1</v>
      </c>
      <c r="BD13" s="3">
        <v>1</v>
      </c>
      <c r="BE13" s="3">
        <v>1</v>
      </c>
      <c r="BF13" s="3">
        <v>1</v>
      </c>
      <c r="BG13" s="3">
        <v>1</v>
      </c>
      <c r="BH13" s="3">
        <v>1</v>
      </c>
      <c r="BI13" s="3">
        <v>1</v>
      </c>
      <c r="BJ13" s="3">
        <v>1</v>
      </c>
      <c r="BK13" s="3">
        <v>1</v>
      </c>
      <c r="BL13" s="3">
        <v>1</v>
      </c>
      <c r="BM13" s="3">
        <v>1</v>
      </c>
      <c r="BN13" s="3">
        <v>1</v>
      </c>
      <c r="BO13" s="3">
        <v>1</v>
      </c>
      <c r="BP13" s="3">
        <v>1</v>
      </c>
      <c r="BQ13" s="3">
        <v>1</v>
      </c>
      <c r="BR13" s="3">
        <v>1</v>
      </c>
      <c r="BS13" s="3">
        <v>1</v>
      </c>
      <c r="BT13" s="3">
        <v>1</v>
      </c>
      <c r="BU13" s="3">
        <v>1</v>
      </c>
      <c r="BV13" s="3">
        <v>1</v>
      </c>
      <c r="BW13" s="3">
        <v>1</v>
      </c>
      <c r="BX13" s="3">
        <v>1</v>
      </c>
      <c r="BY13" s="3">
        <v>1</v>
      </c>
      <c r="BZ13" s="3">
        <v>1</v>
      </c>
      <c r="CA13" s="3">
        <v>1</v>
      </c>
      <c r="CB13" s="3">
        <v>1</v>
      </c>
      <c r="CC13" s="3">
        <v>1</v>
      </c>
      <c r="CD13" s="3">
        <v>1</v>
      </c>
      <c r="CE13" s="3">
        <v>1</v>
      </c>
      <c r="CF13" s="3">
        <v>1</v>
      </c>
      <c r="CG13" s="3">
        <v>1</v>
      </c>
      <c r="CH13" s="3">
        <v>1</v>
      </c>
      <c r="CI13" s="3">
        <v>1</v>
      </c>
      <c r="CJ13" s="3">
        <v>1</v>
      </c>
      <c r="CK13" s="3">
        <v>1</v>
      </c>
      <c r="CL13" s="3">
        <v>1</v>
      </c>
      <c r="CM13" s="3">
        <v>1</v>
      </c>
      <c r="CN13" s="3">
        <v>1</v>
      </c>
      <c r="CO13" s="3">
        <v>1</v>
      </c>
      <c r="CP13" s="3">
        <v>1</v>
      </c>
      <c r="CQ13" s="3">
        <v>1</v>
      </c>
      <c r="CR13" s="3">
        <v>1</v>
      </c>
      <c r="CS13" s="3">
        <v>1</v>
      </c>
      <c r="CT13" s="3">
        <v>1</v>
      </c>
      <c r="CU13" s="3">
        <v>1</v>
      </c>
      <c r="CV13" s="3">
        <v>1</v>
      </c>
      <c r="CW13" s="3">
        <v>1</v>
      </c>
      <c r="CX13" s="3">
        <v>1</v>
      </c>
      <c r="CY13" s="3">
        <v>1</v>
      </c>
      <c r="CZ13" s="3">
        <v>1</v>
      </c>
      <c r="DA13" s="3">
        <v>1</v>
      </c>
      <c r="DB13" s="3">
        <v>1</v>
      </c>
      <c r="DC13" s="3">
        <v>1</v>
      </c>
      <c r="DD13" s="3">
        <v>1</v>
      </c>
      <c r="DE13" s="3">
        <v>1</v>
      </c>
      <c r="DF13" s="3">
        <v>1</v>
      </c>
      <c r="DG13" s="3">
        <v>1</v>
      </c>
      <c r="DH13" s="3">
        <v>1</v>
      </c>
      <c r="DI13" s="3">
        <v>1</v>
      </c>
      <c r="DJ13" s="3">
        <v>1</v>
      </c>
      <c r="DK13" s="3">
        <v>1</v>
      </c>
      <c r="DL13" s="3">
        <v>1</v>
      </c>
      <c r="DM13" s="3">
        <v>1</v>
      </c>
      <c r="DN13" s="3">
        <v>1</v>
      </c>
      <c r="DO13" s="3">
        <v>1</v>
      </c>
      <c r="DP13" s="3">
        <v>1</v>
      </c>
      <c r="DQ13" s="3">
        <v>1</v>
      </c>
      <c r="DR13" s="3">
        <v>1</v>
      </c>
      <c r="DS13" s="3">
        <v>1</v>
      </c>
      <c r="DT13" s="3">
        <v>1</v>
      </c>
      <c r="DU13" s="3">
        <v>1</v>
      </c>
      <c r="DV13" s="3">
        <v>1</v>
      </c>
      <c r="DW13" s="3">
        <v>1</v>
      </c>
      <c r="DX13" s="3">
        <v>1</v>
      </c>
      <c r="DY13" s="3">
        <v>1</v>
      </c>
      <c r="DZ13" s="3">
        <v>1</v>
      </c>
      <c r="EA13" s="3">
        <v>1</v>
      </c>
      <c r="EB13" s="3">
        <v>1</v>
      </c>
      <c r="EC13" s="3">
        <v>1</v>
      </c>
      <c r="ED13" s="3">
        <v>1</v>
      </c>
      <c r="EE13" s="3">
        <v>1</v>
      </c>
      <c r="EF13" s="3">
        <v>1</v>
      </c>
      <c r="EG13" s="3">
        <v>1</v>
      </c>
      <c r="EH13" s="3">
        <v>1</v>
      </c>
      <c r="EI13" s="3">
        <v>1</v>
      </c>
      <c r="EJ13" s="3">
        <v>1</v>
      </c>
      <c r="EK13" s="3">
        <v>1</v>
      </c>
      <c r="EL13" s="3">
        <v>1</v>
      </c>
      <c r="EM13" s="3">
        <v>1</v>
      </c>
      <c r="EN13" s="3">
        <v>1</v>
      </c>
      <c r="EO13" s="3">
        <v>1</v>
      </c>
      <c r="EP13" s="9">
        <v>1</v>
      </c>
    </row>
    <row r="14" spans="1:147" x14ac:dyDescent="0.3">
      <c r="A14" s="8" t="s">
        <v>56</v>
      </c>
      <c r="B14" s="3" t="s">
        <v>57</v>
      </c>
      <c r="C14" s="3">
        <v>1</v>
      </c>
      <c r="D14" s="3">
        <v>1</v>
      </c>
      <c r="E14" s="3">
        <v>1</v>
      </c>
      <c r="F14" s="3">
        <v>1</v>
      </c>
      <c r="G14" s="3">
        <v>1</v>
      </c>
      <c r="H14" s="3">
        <v>1</v>
      </c>
      <c r="I14" s="3">
        <v>1</v>
      </c>
      <c r="J14" s="3">
        <v>1</v>
      </c>
      <c r="K14" s="3">
        <v>1</v>
      </c>
      <c r="L14" s="3">
        <v>1</v>
      </c>
      <c r="M14" s="3">
        <v>1</v>
      </c>
      <c r="N14" s="3">
        <v>1</v>
      </c>
      <c r="O14" s="3">
        <v>1</v>
      </c>
      <c r="P14" s="3">
        <v>1</v>
      </c>
      <c r="Q14" s="3">
        <v>1</v>
      </c>
      <c r="R14" s="3">
        <v>1</v>
      </c>
      <c r="S14" s="3">
        <v>1</v>
      </c>
      <c r="T14" s="3">
        <v>1</v>
      </c>
      <c r="U14" s="3">
        <v>1</v>
      </c>
      <c r="V14" s="3">
        <v>1</v>
      </c>
      <c r="W14" s="3">
        <v>1</v>
      </c>
      <c r="X14" s="3">
        <v>1</v>
      </c>
      <c r="Y14" s="3">
        <v>1</v>
      </c>
      <c r="Z14" s="3">
        <v>1</v>
      </c>
      <c r="AA14" s="3">
        <v>1</v>
      </c>
      <c r="AB14" s="3">
        <v>1</v>
      </c>
      <c r="AC14" s="3">
        <v>1</v>
      </c>
      <c r="AD14" s="3">
        <v>1</v>
      </c>
      <c r="AE14" s="3">
        <v>1</v>
      </c>
      <c r="AF14" s="3">
        <v>1</v>
      </c>
      <c r="AG14" s="3">
        <v>1</v>
      </c>
      <c r="AH14" s="3">
        <v>1</v>
      </c>
      <c r="AI14" s="3">
        <v>1</v>
      </c>
      <c r="AJ14" s="3">
        <v>1</v>
      </c>
      <c r="AK14" s="3">
        <v>1</v>
      </c>
      <c r="AL14" s="3">
        <v>1</v>
      </c>
      <c r="AM14" s="3">
        <v>1</v>
      </c>
      <c r="AN14" s="3">
        <v>1</v>
      </c>
      <c r="AO14" s="3">
        <v>1</v>
      </c>
      <c r="AP14" s="3">
        <v>1</v>
      </c>
      <c r="AQ14" s="3">
        <v>1</v>
      </c>
      <c r="AR14" s="3">
        <v>1</v>
      </c>
      <c r="AS14" s="3">
        <v>1</v>
      </c>
      <c r="AT14" s="3">
        <v>1</v>
      </c>
      <c r="AU14" s="3">
        <v>1</v>
      </c>
      <c r="AV14" s="3">
        <v>1</v>
      </c>
      <c r="AW14" s="3">
        <v>1</v>
      </c>
      <c r="AX14" s="3">
        <v>1</v>
      </c>
      <c r="AY14" s="3">
        <v>1</v>
      </c>
      <c r="AZ14" s="3">
        <v>1</v>
      </c>
      <c r="BA14" s="3">
        <v>1</v>
      </c>
      <c r="BB14" s="3">
        <v>1</v>
      </c>
      <c r="BC14" s="3">
        <v>1</v>
      </c>
      <c r="BD14" s="3">
        <v>1</v>
      </c>
      <c r="BE14" s="3">
        <v>1</v>
      </c>
      <c r="BF14" s="3">
        <v>1</v>
      </c>
      <c r="BG14" s="3">
        <v>1</v>
      </c>
      <c r="BH14" s="3">
        <v>1</v>
      </c>
      <c r="BI14" s="3">
        <v>1</v>
      </c>
      <c r="BJ14" s="3">
        <v>1</v>
      </c>
      <c r="BK14" s="3">
        <v>1</v>
      </c>
      <c r="BL14" s="3">
        <v>1</v>
      </c>
      <c r="BM14" s="3">
        <v>1</v>
      </c>
      <c r="BN14" s="3">
        <v>1</v>
      </c>
      <c r="BO14" s="3">
        <v>1</v>
      </c>
      <c r="BP14" s="3">
        <v>1</v>
      </c>
      <c r="BQ14" s="3">
        <v>1</v>
      </c>
      <c r="BR14" s="3">
        <v>1</v>
      </c>
      <c r="BS14" s="3">
        <v>1</v>
      </c>
      <c r="BT14" s="3">
        <v>1</v>
      </c>
      <c r="BU14" s="3">
        <v>1</v>
      </c>
      <c r="BV14" s="3">
        <v>1</v>
      </c>
      <c r="BW14" s="3">
        <v>1</v>
      </c>
      <c r="BX14" s="3">
        <v>1</v>
      </c>
      <c r="BY14" s="3">
        <v>1</v>
      </c>
      <c r="BZ14" s="3">
        <v>1</v>
      </c>
      <c r="CA14" s="3">
        <v>1</v>
      </c>
      <c r="CB14" s="3">
        <v>1</v>
      </c>
      <c r="CC14" s="3">
        <v>1</v>
      </c>
      <c r="CD14" s="3">
        <v>1</v>
      </c>
      <c r="CE14" s="3">
        <v>1</v>
      </c>
      <c r="CF14" s="3">
        <v>1</v>
      </c>
      <c r="CG14" s="3">
        <v>1</v>
      </c>
      <c r="CH14" s="3">
        <v>1</v>
      </c>
      <c r="CI14" s="3">
        <v>1</v>
      </c>
      <c r="CJ14" s="3">
        <v>1</v>
      </c>
      <c r="CK14" s="3">
        <v>1</v>
      </c>
      <c r="CL14" s="3">
        <v>1</v>
      </c>
      <c r="CM14" s="3">
        <v>1</v>
      </c>
      <c r="CN14" s="3">
        <v>1</v>
      </c>
      <c r="CO14" s="3">
        <v>1</v>
      </c>
      <c r="CP14" s="3">
        <v>1</v>
      </c>
      <c r="CQ14" s="3">
        <v>1</v>
      </c>
      <c r="CR14" s="3">
        <v>1</v>
      </c>
      <c r="CS14" s="3">
        <v>1</v>
      </c>
      <c r="CT14" s="3">
        <v>1</v>
      </c>
      <c r="CU14" s="3">
        <v>1</v>
      </c>
      <c r="CV14" s="3">
        <v>1</v>
      </c>
      <c r="CW14" s="3">
        <v>1</v>
      </c>
      <c r="CX14" s="3">
        <v>1</v>
      </c>
      <c r="CY14" s="3">
        <v>1</v>
      </c>
      <c r="CZ14" s="3">
        <v>1</v>
      </c>
      <c r="DA14" s="3">
        <v>1</v>
      </c>
      <c r="DB14" s="3">
        <v>1</v>
      </c>
      <c r="DC14" s="3">
        <v>1</v>
      </c>
      <c r="DD14" s="3">
        <v>1</v>
      </c>
      <c r="DE14" s="3">
        <v>1</v>
      </c>
      <c r="DF14" s="3">
        <v>1</v>
      </c>
      <c r="DG14" s="3">
        <v>1</v>
      </c>
      <c r="DH14" s="3">
        <v>1</v>
      </c>
      <c r="DI14" s="3">
        <v>1</v>
      </c>
      <c r="DJ14" s="3">
        <v>1</v>
      </c>
      <c r="DK14" s="3">
        <v>1</v>
      </c>
      <c r="DL14" s="3">
        <v>1</v>
      </c>
      <c r="DM14" s="3">
        <v>1</v>
      </c>
      <c r="DN14" s="3">
        <v>1</v>
      </c>
      <c r="DO14" s="3">
        <v>1</v>
      </c>
      <c r="DP14" s="3">
        <v>1</v>
      </c>
      <c r="DQ14" s="3">
        <v>1</v>
      </c>
      <c r="DR14" s="3">
        <v>1</v>
      </c>
      <c r="DS14" s="3">
        <v>1</v>
      </c>
      <c r="DT14" s="3">
        <v>1</v>
      </c>
      <c r="DU14" s="3">
        <v>1</v>
      </c>
      <c r="DV14" s="3">
        <v>1</v>
      </c>
      <c r="DW14" s="3">
        <v>1</v>
      </c>
      <c r="DX14" s="3">
        <v>1</v>
      </c>
      <c r="DY14" s="3">
        <v>1</v>
      </c>
      <c r="DZ14" s="3">
        <v>1</v>
      </c>
      <c r="EA14" s="3">
        <v>1</v>
      </c>
      <c r="EB14" s="3">
        <v>1</v>
      </c>
      <c r="EC14" s="3">
        <v>1</v>
      </c>
      <c r="ED14" s="3">
        <v>1</v>
      </c>
      <c r="EE14" s="3">
        <v>1</v>
      </c>
      <c r="EF14" s="3">
        <v>1</v>
      </c>
      <c r="EG14" s="3">
        <v>1</v>
      </c>
      <c r="EH14" s="3">
        <v>1</v>
      </c>
      <c r="EI14" s="3">
        <v>1</v>
      </c>
      <c r="EJ14" s="3">
        <v>1</v>
      </c>
      <c r="EK14" s="3">
        <v>1</v>
      </c>
      <c r="EL14" s="3">
        <v>1</v>
      </c>
      <c r="EM14" s="3">
        <v>1</v>
      </c>
      <c r="EN14" s="3">
        <v>1</v>
      </c>
      <c r="EO14" s="3">
        <v>1</v>
      </c>
      <c r="EP14" s="9">
        <v>1</v>
      </c>
    </row>
    <row r="15" spans="1:147" x14ac:dyDescent="0.3">
      <c r="A15" s="8" t="s">
        <v>58</v>
      </c>
      <c r="B15" s="3" t="s">
        <v>59</v>
      </c>
      <c r="C15" s="3">
        <v>1</v>
      </c>
      <c r="D15" s="3">
        <v>1</v>
      </c>
      <c r="E15" s="3">
        <v>1</v>
      </c>
      <c r="F15" s="3">
        <v>1</v>
      </c>
      <c r="G15" s="3">
        <v>1</v>
      </c>
      <c r="H15" s="3">
        <v>1</v>
      </c>
      <c r="I15" s="3">
        <v>1</v>
      </c>
      <c r="J15" s="3">
        <v>1</v>
      </c>
      <c r="K15" s="3">
        <v>1</v>
      </c>
      <c r="L15" s="3">
        <v>1</v>
      </c>
      <c r="M15" s="3">
        <v>1</v>
      </c>
      <c r="N15" s="3">
        <v>1</v>
      </c>
      <c r="O15" s="3">
        <v>1</v>
      </c>
      <c r="P15" s="3">
        <v>1</v>
      </c>
      <c r="Q15" s="3">
        <v>1</v>
      </c>
      <c r="R15" s="3">
        <v>1</v>
      </c>
      <c r="S15" s="3">
        <v>1</v>
      </c>
      <c r="T15" s="3">
        <v>1</v>
      </c>
      <c r="U15" s="3">
        <v>1</v>
      </c>
      <c r="V15" s="3">
        <v>1</v>
      </c>
      <c r="W15" s="3">
        <v>1</v>
      </c>
      <c r="X15" s="3">
        <v>1</v>
      </c>
      <c r="Y15" s="3">
        <v>1</v>
      </c>
      <c r="Z15" s="3">
        <v>1</v>
      </c>
      <c r="AA15" s="3">
        <v>1</v>
      </c>
      <c r="AB15" s="3">
        <v>1</v>
      </c>
      <c r="AC15" s="3">
        <v>1</v>
      </c>
      <c r="AD15" s="3">
        <v>1</v>
      </c>
      <c r="AE15" s="3">
        <v>1</v>
      </c>
      <c r="AF15" s="3">
        <v>1</v>
      </c>
      <c r="AG15" s="3">
        <v>1</v>
      </c>
      <c r="AH15" s="3">
        <v>1</v>
      </c>
      <c r="AI15" s="3">
        <v>1</v>
      </c>
      <c r="AJ15" s="3">
        <v>1</v>
      </c>
      <c r="AK15" s="3">
        <v>1</v>
      </c>
      <c r="AL15" s="3">
        <v>1</v>
      </c>
      <c r="AM15" s="3">
        <v>1</v>
      </c>
      <c r="AN15" s="3">
        <v>1</v>
      </c>
      <c r="AO15" s="3">
        <v>1</v>
      </c>
      <c r="AP15" s="3">
        <v>1</v>
      </c>
      <c r="AQ15" s="3">
        <v>1</v>
      </c>
      <c r="AR15" s="3">
        <v>1</v>
      </c>
      <c r="AS15" s="3">
        <v>1</v>
      </c>
      <c r="AT15" s="3">
        <v>1</v>
      </c>
      <c r="AU15" s="3">
        <v>1</v>
      </c>
      <c r="AV15" s="3">
        <v>1</v>
      </c>
      <c r="AW15" s="3">
        <v>1</v>
      </c>
      <c r="AX15" s="3">
        <v>1</v>
      </c>
      <c r="AY15" s="3">
        <v>1</v>
      </c>
      <c r="AZ15" s="3">
        <v>1</v>
      </c>
      <c r="BA15" s="3">
        <v>1</v>
      </c>
      <c r="BB15" s="3">
        <v>1</v>
      </c>
      <c r="BC15" s="3">
        <v>1</v>
      </c>
      <c r="BD15" s="3">
        <v>1</v>
      </c>
      <c r="BE15" s="3">
        <v>1</v>
      </c>
      <c r="BF15" s="3">
        <v>1</v>
      </c>
      <c r="BG15" s="3">
        <v>1</v>
      </c>
      <c r="BH15" s="3">
        <v>1</v>
      </c>
      <c r="BI15" s="3">
        <v>1</v>
      </c>
      <c r="BJ15" s="3">
        <v>1</v>
      </c>
      <c r="BK15" s="3">
        <v>1</v>
      </c>
      <c r="BL15" s="3">
        <v>1</v>
      </c>
      <c r="BM15" s="3">
        <v>1</v>
      </c>
      <c r="BN15" s="3">
        <v>1</v>
      </c>
      <c r="BO15" s="3">
        <v>1</v>
      </c>
      <c r="BP15" s="3">
        <v>1</v>
      </c>
      <c r="BQ15" s="3">
        <v>1</v>
      </c>
      <c r="BR15" s="3">
        <v>1</v>
      </c>
      <c r="BS15" s="3">
        <v>1</v>
      </c>
      <c r="BT15" s="3">
        <v>1</v>
      </c>
      <c r="BU15" s="3">
        <v>1</v>
      </c>
      <c r="BV15" s="3">
        <v>1</v>
      </c>
      <c r="BW15" s="3">
        <v>1</v>
      </c>
      <c r="BX15" s="3">
        <v>1</v>
      </c>
      <c r="BY15" s="3">
        <v>1</v>
      </c>
      <c r="BZ15" s="3">
        <v>1</v>
      </c>
      <c r="CA15" s="3">
        <v>1</v>
      </c>
      <c r="CB15" s="3">
        <v>1</v>
      </c>
      <c r="CC15" s="3">
        <v>1</v>
      </c>
      <c r="CD15" s="3">
        <v>1</v>
      </c>
      <c r="CE15" s="3">
        <v>1</v>
      </c>
      <c r="CF15" s="3">
        <v>1</v>
      </c>
      <c r="CG15" s="3">
        <v>1</v>
      </c>
      <c r="CH15" s="3">
        <v>1</v>
      </c>
      <c r="CI15" s="3">
        <v>1</v>
      </c>
      <c r="CJ15" s="3">
        <v>1</v>
      </c>
      <c r="CK15" s="3">
        <v>1</v>
      </c>
      <c r="CL15" s="3">
        <v>1</v>
      </c>
      <c r="CM15" s="3">
        <v>1</v>
      </c>
      <c r="CN15" s="3">
        <v>1</v>
      </c>
      <c r="CO15" s="3">
        <v>1</v>
      </c>
      <c r="CP15" s="3">
        <v>1</v>
      </c>
      <c r="CQ15" s="3">
        <v>1</v>
      </c>
      <c r="CR15" s="3">
        <v>1</v>
      </c>
      <c r="CS15" s="3">
        <v>1</v>
      </c>
      <c r="CT15" s="3">
        <v>1</v>
      </c>
      <c r="CU15" s="3">
        <v>1</v>
      </c>
      <c r="CV15" s="3">
        <v>1</v>
      </c>
      <c r="CW15" s="3">
        <v>1</v>
      </c>
      <c r="CX15" s="3">
        <v>1</v>
      </c>
      <c r="CY15" s="3">
        <v>1</v>
      </c>
      <c r="CZ15" s="3">
        <v>1</v>
      </c>
      <c r="DA15" s="3">
        <v>1</v>
      </c>
      <c r="DB15" s="3">
        <v>1</v>
      </c>
      <c r="DC15" s="3">
        <v>1</v>
      </c>
      <c r="DD15" s="3">
        <v>1</v>
      </c>
      <c r="DE15" s="3">
        <v>1</v>
      </c>
      <c r="DF15" s="3">
        <v>1</v>
      </c>
      <c r="DG15" s="3">
        <v>1</v>
      </c>
      <c r="DH15" s="3">
        <v>1</v>
      </c>
      <c r="DI15" s="3">
        <v>1</v>
      </c>
      <c r="DJ15" s="3">
        <v>1</v>
      </c>
      <c r="DK15" s="3">
        <v>1</v>
      </c>
      <c r="DL15" s="3">
        <v>1</v>
      </c>
      <c r="DM15" s="3">
        <v>1</v>
      </c>
      <c r="DN15" s="3">
        <v>1</v>
      </c>
      <c r="DO15" s="3">
        <v>1</v>
      </c>
      <c r="DP15" s="3">
        <v>1</v>
      </c>
      <c r="DQ15" s="3">
        <v>1</v>
      </c>
      <c r="DR15" s="3">
        <v>1</v>
      </c>
      <c r="DS15" s="3">
        <v>1</v>
      </c>
      <c r="DT15" s="3">
        <v>1</v>
      </c>
      <c r="DU15" s="3">
        <v>1</v>
      </c>
      <c r="DV15" s="3">
        <v>1</v>
      </c>
      <c r="DW15" s="3">
        <v>1</v>
      </c>
      <c r="DX15" s="3">
        <v>1</v>
      </c>
      <c r="DY15" s="3">
        <v>1</v>
      </c>
      <c r="DZ15" s="3">
        <v>1</v>
      </c>
      <c r="EA15" s="3">
        <v>1</v>
      </c>
      <c r="EB15" s="3">
        <v>1</v>
      </c>
      <c r="EC15" s="3">
        <v>1</v>
      </c>
      <c r="ED15" s="3">
        <v>1</v>
      </c>
      <c r="EE15" s="3">
        <v>1</v>
      </c>
      <c r="EF15" s="3">
        <v>1</v>
      </c>
      <c r="EG15" s="3">
        <v>1</v>
      </c>
      <c r="EH15" s="3">
        <v>1</v>
      </c>
      <c r="EI15" s="3">
        <v>1</v>
      </c>
      <c r="EJ15" s="3">
        <v>1</v>
      </c>
      <c r="EK15" s="3">
        <v>1</v>
      </c>
      <c r="EL15" s="3">
        <v>1</v>
      </c>
      <c r="EM15" s="3">
        <v>1</v>
      </c>
      <c r="EN15" s="3">
        <v>1</v>
      </c>
      <c r="EO15" s="3">
        <v>1</v>
      </c>
      <c r="EP15" s="9">
        <v>1</v>
      </c>
    </row>
    <row r="16" spans="1:147" x14ac:dyDescent="0.3">
      <c r="A16" s="8" t="s">
        <v>65</v>
      </c>
      <c r="B16" s="3" t="s">
        <v>66</v>
      </c>
      <c r="C16" s="3">
        <v>1</v>
      </c>
      <c r="D16" s="3">
        <v>1</v>
      </c>
      <c r="E16" s="3">
        <v>1</v>
      </c>
      <c r="F16" s="3">
        <v>1</v>
      </c>
      <c r="G16" s="3">
        <v>1</v>
      </c>
      <c r="H16" s="3">
        <v>1</v>
      </c>
      <c r="I16" s="3">
        <v>1</v>
      </c>
      <c r="J16" s="3">
        <v>1</v>
      </c>
      <c r="K16" s="3">
        <v>1</v>
      </c>
      <c r="L16" s="3">
        <v>1</v>
      </c>
      <c r="M16" s="3">
        <v>1</v>
      </c>
      <c r="N16" s="3">
        <v>1</v>
      </c>
      <c r="O16" s="3">
        <v>1</v>
      </c>
      <c r="P16" s="3">
        <v>1</v>
      </c>
      <c r="Q16" s="3">
        <v>1</v>
      </c>
      <c r="R16" s="3">
        <v>1</v>
      </c>
      <c r="S16" s="3">
        <v>1</v>
      </c>
      <c r="T16" s="3">
        <v>1</v>
      </c>
      <c r="U16" s="3">
        <v>1</v>
      </c>
      <c r="V16" s="3">
        <v>1</v>
      </c>
      <c r="W16" s="3">
        <v>1</v>
      </c>
      <c r="X16" s="3">
        <v>1</v>
      </c>
      <c r="Y16" s="3">
        <v>1</v>
      </c>
      <c r="Z16" s="3">
        <v>1</v>
      </c>
      <c r="AA16" s="3">
        <v>1</v>
      </c>
      <c r="AB16" s="3">
        <v>1</v>
      </c>
      <c r="AC16" s="3">
        <v>1</v>
      </c>
      <c r="AD16" s="3">
        <v>1</v>
      </c>
      <c r="AE16" s="3">
        <v>1</v>
      </c>
      <c r="AF16" s="3">
        <v>1</v>
      </c>
      <c r="AG16" s="3">
        <v>1</v>
      </c>
      <c r="AH16" s="3">
        <v>1</v>
      </c>
      <c r="AI16" s="3">
        <v>1</v>
      </c>
      <c r="AJ16" s="3">
        <v>1</v>
      </c>
      <c r="AK16" s="3">
        <v>1</v>
      </c>
      <c r="AL16" s="3">
        <v>1</v>
      </c>
      <c r="AM16" s="3">
        <v>1</v>
      </c>
      <c r="AN16" s="3">
        <v>1</v>
      </c>
      <c r="AO16" s="3">
        <v>1</v>
      </c>
      <c r="AP16" s="3">
        <v>1</v>
      </c>
      <c r="AQ16" s="3">
        <v>1</v>
      </c>
      <c r="AR16" s="3">
        <v>1</v>
      </c>
      <c r="AS16" s="3">
        <v>1</v>
      </c>
      <c r="AT16" s="3">
        <v>1</v>
      </c>
      <c r="AU16" s="3">
        <v>1</v>
      </c>
      <c r="AV16" s="3">
        <v>1</v>
      </c>
      <c r="AW16" s="3">
        <v>1</v>
      </c>
      <c r="AX16" s="3">
        <v>1</v>
      </c>
      <c r="AY16" s="3">
        <v>1</v>
      </c>
      <c r="AZ16" s="3">
        <v>1</v>
      </c>
      <c r="BA16" s="3">
        <v>1</v>
      </c>
      <c r="BB16" s="3">
        <v>1</v>
      </c>
      <c r="BC16" s="3">
        <v>1</v>
      </c>
      <c r="BD16" s="3">
        <v>1</v>
      </c>
      <c r="BE16" s="3">
        <v>1</v>
      </c>
      <c r="BF16" s="3">
        <v>1</v>
      </c>
      <c r="BG16" s="3">
        <v>1</v>
      </c>
      <c r="BH16" s="3">
        <v>1</v>
      </c>
      <c r="BI16" s="3">
        <v>1</v>
      </c>
      <c r="BJ16" s="3">
        <v>1</v>
      </c>
      <c r="BK16" s="3">
        <v>1</v>
      </c>
      <c r="BL16" s="3">
        <v>1</v>
      </c>
      <c r="BM16" s="3">
        <v>1</v>
      </c>
      <c r="BN16" s="3">
        <v>1</v>
      </c>
      <c r="BO16" s="3">
        <v>1</v>
      </c>
      <c r="BP16" s="3">
        <v>1</v>
      </c>
      <c r="BQ16" s="3">
        <v>1</v>
      </c>
      <c r="BR16" s="3">
        <v>1</v>
      </c>
      <c r="BS16" s="3">
        <v>1</v>
      </c>
      <c r="BT16" s="3">
        <v>1</v>
      </c>
      <c r="BU16" s="3">
        <v>1</v>
      </c>
      <c r="BV16" s="3">
        <v>1</v>
      </c>
      <c r="BW16" s="3">
        <v>1</v>
      </c>
      <c r="BX16" s="3">
        <v>1</v>
      </c>
      <c r="BY16" s="3">
        <v>1</v>
      </c>
      <c r="BZ16" s="3">
        <v>1</v>
      </c>
      <c r="CA16" s="3">
        <v>1</v>
      </c>
      <c r="CB16" s="3">
        <v>1</v>
      </c>
      <c r="CC16" s="3">
        <v>1</v>
      </c>
      <c r="CD16" s="3">
        <v>1</v>
      </c>
      <c r="CE16" s="3">
        <v>1</v>
      </c>
      <c r="CF16" s="3">
        <v>1</v>
      </c>
      <c r="CG16" s="3">
        <v>1</v>
      </c>
      <c r="CH16" s="3">
        <v>1</v>
      </c>
      <c r="CI16" s="3">
        <v>1</v>
      </c>
      <c r="CJ16" s="3">
        <v>1</v>
      </c>
      <c r="CK16" s="3">
        <v>1</v>
      </c>
      <c r="CL16" s="3">
        <v>1</v>
      </c>
      <c r="CM16" s="3">
        <v>1</v>
      </c>
      <c r="CN16" s="3">
        <v>1</v>
      </c>
      <c r="CO16" s="3">
        <v>1</v>
      </c>
      <c r="CP16" s="3">
        <v>1</v>
      </c>
      <c r="CQ16" s="3">
        <v>1</v>
      </c>
      <c r="CR16" s="3">
        <v>1</v>
      </c>
      <c r="CS16" s="3">
        <v>1</v>
      </c>
      <c r="CT16" s="3">
        <v>1</v>
      </c>
      <c r="CU16" s="3">
        <v>1</v>
      </c>
      <c r="CV16" s="3">
        <v>1</v>
      </c>
      <c r="CW16" s="3">
        <v>1</v>
      </c>
      <c r="CX16" s="3">
        <v>1</v>
      </c>
      <c r="CY16" s="3">
        <v>1</v>
      </c>
      <c r="CZ16" s="3">
        <v>1</v>
      </c>
      <c r="DA16" s="3">
        <v>1</v>
      </c>
      <c r="DB16" s="3">
        <v>1</v>
      </c>
      <c r="DC16" s="3">
        <v>1</v>
      </c>
      <c r="DD16" s="3">
        <v>1</v>
      </c>
      <c r="DE16" s="3">
        <v>1</v>
      </c>
      <c r="DF16" s="3">
        <v>1</v>
      </c>
      <c r="DG16" s="3">
        <v>1</v>
      </c>
      <c r="DH16" s="3">
        <v>1</v>
      </c>
      <c r="DI16" s="3">
        <v>1</v>
      </c>
      <c r="DJ16" s="3">
        <v>1</v>
      </c>
      <c r="DK16" s="3">
        <v>1</v>
      </c>
      <c r="DL16" s="3">
        <v>1</v>
      </c>
      <c r="DM16" s="3">
        <v>1</v>
      </c>
      <c r="DN16" s="3">
        <v>1</v>
      </c>
      <c r="DO16" s="3">
        <v>1</v>
      </c>
      <c r="DP16" s="3">
        <v>1</v>
      </c>
      <c r="DQ16" s="3">
        <v>1</v>
      </c>
      <c r="DR16" s="3">
        <v>1</v>
      </c>
      <c r="DS16" s="3">
        <v>1</v>
      </c>
      <c r="DT16" s="3">
        <v>1</v>
      </c>
      <c r="DU16" s="3">
        <v>1</v>
      </c>
      <c r="DV16" s="3">
        <v>1</v>
      </c>
      <c r="DW16" s="3">
        <v>1</v>
      </c>
      <c r="DX16" s="3">
        <v>1</v>
      </c>
      <c r="DY16" s="3">
        <v>1</v>
      </c>
      <c r="DZ16" s="3">
        <v>1</v>
      </c>
      <c r="EA16" s="3">
        <v>1</v>
      </c>
      <c r="EB16" s="3">
        <v>1</v>
      </c>
      <c r="EC16" s="3">
        <v>1</v>
      </c>
      <c r="ED16" s="3">
        <v>1</v>
      </c>
      <c r="EE16" s="3">
        <v>1</v>
      </c>
      <c r="EF16" s="3">
        <v>1</v>
      </c>
      <c r="EG16" s="3">
        <v>1</v>
      </c>
      <c r="EH16" s="3">
        <v>1</v>
      </c>
      <c r="EI16" s="3">
        <v>1</v>
      </c>
      <c r="EJ16" s="3">
        <v>1</v>
      </c>
      <c r="EK16" s="3">
        <v>1</v>
      </c>
      <c r="EL16" s="3">
        <v>1</v>
      </c>
      <c r="EM16" s="3">
        <v>1</v>
      </c>
      <c r="EN16" s="3">
        <v>1</v>
      </c>
      <c r="EO16" s="3">
        <v>1</v>
      </c>
      <c r="EP16" s="9">
        <v>1</v>
      </c>
    </row>
    <row r="17" spans="1:146" x14ac:dyDescent="0.3">
      <c r="A17" s="8" t="s">
        <v>69</v>
      </c>
      <c r="B17" s="3" t="s">
        <v>70</v>
      </c>
      <c r="C17" s="3">
        <v>1</v>
      </c>
      <c r="D17" s="3">
        <v>1</v>
      </c>
      <c r="E17" s="3">
        <v>1</v>
      </c>
      <c r="F17" s="3">
        <v>1</v>
      </c>
      <c r="G17" s="3">
        <v>1</v>
      </c>
      <c r="H17" s="3">
        <v>1</v>
      </c>
      <c r="I17" s="3">
        <v>1</v>
      </c>
      <c r="J17" s="3">
        <v>1</v>
      </c>
      <c r="K17" s="3">
        <v>1</v>
      </c>
      <c r="L17" s="3">
        <v>1</v>
      </c>
      <c r="M17" s="3">
        <v>1</v>
      </c>
      <c r="N17" s="3">
        <v>1</v>
      </c>
      <c r="O17" s="3">
        <v>1</v>
      </c>
      <c r="P17" s="3">
        <v>1</v>
      </c>
      <c r="Q17" s="3">
        <v>1</v>
      </c>
      <c r="R17" s="3">
        <v>1</v>
      </c>
      <c r="S17" s="3">
        <v>1</v>
      </c>
      <c r="T17" s="3">
        <v>1</v>
      </c>
      <c r="U17" s="3">
        <v>1</v>
      </c>
      <c r="V17" s="3">
        <v>1</v>
      </c>
      <c r="W17" s="3">
        <v>1</v>
      </c>
      <c r="X17" s="3">
        <v>1</v>
      </c>
      <c r="Y17" s="3">
        <v>1</v>
      </c>
      <c r="Z17" s="3">
        <v>1</v>
      </c>
      <c r="AA17" s="3">
        <v>1</v>
      </c>
      <c r="AB17" s="3">
        <v>1</v>
      </c>
      <c r="AC17" s="3">
        <v>1</v>
      </c>
      <c r="AD17" s="3">
        <v>1</v>
      </c>
      <c r="AE17" s="3">
        <v>1</v>
      </c>
      <c r="AF17" s="3">
        <v>1</v>
      </c>
      <c r="AG17" s="3">
        <v>1</v>
      </c>
      <c r="AH17" s="3">
        <v>1</v>
      </c>
      <c r="AI17" s="3">
        <v>1</v>
      </c>
      <c r="AJ17" s="3">
        <v>1</v>
      </c>
      <c r="AK17" s="3">
        <v>1</v>
      </c>
      <c r="AL17" s="3">
        <v>1</v>
      </c>
      <c r="AM17" s="3">
        <v>1</v>
      </c>
      <c r="AN17" s="3">
        <v>1</v>
      </c>
      <c r="AO17" s="3">
        <v>1</v>
      </c>
      <c r="AP17" s="3">
        <v>1</v>
      </c>
      <c r="AQ17" s="3">
        <v>1</v>
      </c>
      <c r="AR17" s="3">
        <v>1</v>
      </c>
      <c r="AS17" s="3">
        <v>1</v>
      </c>
      <c r="AT17" s="3">
        <v>1</v>
      </c>
      <c r="AU17" s="3">
        <v>1</v>
      </c>
      <c r="AV17" s="3">
        <v>1</v>
      </c>
      <c r="AW17" s="3">
        <v>1</v>
      </c>
      <c r="AX17" s="3">
        <v>1</v>
      </c>
      <c r="AY17" s="3">
        <v>1</v>
      </c>
      <c r="AZ17" s="3">
        <v>1</v>
      </c>
      <c r="BA17" s="3">
        <v>1</v>
      </c>
      <c r="BB17" s="3">
        <v>1</v>
      </c>
      <c r="BC17" s="3">
        <v>1</v>
      </c>
      <c r="BD17" s="3">
        <v>1</v>
      </c>
      <c r="BE17" s="3">
        <v>1</v>
      </c>
      <c r="BF17" s="3">
        <v>1</v>
      </c>
      <c r="BG17" s="3">
        <v>1</v>
      </c>
      <c r="BH17" s="3">
        <v>1</v>
      </c>
      <c r="BI17" s="3">
        <v>1</v>
      </c>
      <c r="BJ17" s="3">
        <v>1</v>
      </c>
      <c r="BK17" s="3">
        <v>1</v>
      </c>
      <c r="BL17" s="3">
        <v>1</v>
      </c>
      <c r="BM17" s="3">
        <v>1</v>
      </c>
      <c r="BN17" s="3">
        <v>1</v>
      </c>
      <c r="BO17" s="3">
        <v>1</v>
      </c>
      <c r="BP17" s="3">
        <v>1</v>
      </c>
      <c r="BQ17" s="3">
        <v>1</v>
      </c>
      <c r="BR17" s="3">
        <v>1</v>
      </c>
      <c r="BS17" s="3">
        <v>1</v>
      </c>
      <c r="BT17" s="3">
        <v>1</v>
      </c>
      <c r="BU17" s="3">
        <v>1</v>
      </c>
      <c r="BV17" s="3">
        <v>1</v>
      </c>
      <c r="BW17" s="3">
        <v>1</v>
      </c>
      <c r="BX17" s="3">
        <v>1</v>
      </c>
      <c r="BY17" s="3">
        <v>1</v>
      </c>
      <c r="BZ17" s="3">
        <v>1</v>
      </c>
      <c r="CA17" s="3">
        <v>1</v>
      </c>
      <c r="CB17" s="3">
        <v>1</v>
      </c>
      <c r="CC17" s="3">
        <v>1</v>
      </c>
      <c r="CD17" s="3">
        <v>1</v>
      </c>
      <c r="CE17" s="3">
        <v>1</v>
      </c>
      <c r="CF17" s="3">
        <v>1</v>
      </c>
      <c r="CG17" s="3">
        <v>1</v>
      </c>
      <c r="CH17" s="3">
        <v>1</v>
      </c>
      <c r="CI17" s="3">
        <v>1</v>
      </c>
      <c r="CJ17" s="3">
        <v>1</v>
      </c>
      <c r="CK17" s="3">
        <v>1</v>
      </c>
      <c r="CL17" s="3">
        <v>1</v>
      </c>
      <c r="CM17" s="3">
        <v>1</v>
      </c>
      <c r="CN17" s="3">
        <v>1</v>
      </c>
      <c r="CO17" s="3">
        <v>1</v>
      </c>
      <c r="CP17" s="3">
        <v>1</v>
      </c>
      <c r="CQ17" s="3">
        <v>1</v>
      </c>
      <c r="CR17" s="3">
        <v>1</v>
      </c>
      <c r="CS17" s="3">
        <v>1</v>
      </c>
      <c r="CT17" s="3">
        <v>1</v>
      </c>
      <c r="CU17" s="3">
        <v>1</v>
      </c>
      <c r="CV17" s="3">
        <v>1</v>
      </c>
      <c r="CW17" s="3">
        <v>1</v>
      </c>
      <c r="CX17" s="3">
        <v>1</v>
      </c>
      <c r="CY17" s="3">
        <v>1</v>
      </c>
      <c r="CZ17" s="3">
        <v>1</v>
      </c>
      <c r="DA17" s="3">
        <v>1</v>
      </c>
      <c r="DB17" s="3">
        <v>1</v>
      </c>
      <c r="DC17" s="3">
        <v>1</v>
      </c>
      <c r="DD17" s="3">
        <v>1</v>
      </c>
      <c r="DE17" s="3">
        <v>1</v>
      </c>
      <c r="DF17" s="3">
        <v>1</v>
      </c>
      <c r="DG17" s="3">
        <v>1</v>
      </c>
      <c r="DH17" s="3">
        <v>1</v>
      </c>
      <c r="DI17" s="3">
        <v>1</v>
      </c>
      <c r="DJ17" s="3">
        <v>1</v>
      </c>
      <c r="DK17" s="3">
        <v>1</v>
      </c>
      <c r="DL17" s="3">
        <v>1</v>
      </c>
      <c r="DM17" s="3">
        <v>1</v>
      </c>
      <c r="DN17" s="3">
        <v>1</v>
      </c>
      <c r="DO17" s="3">
        <v>1</v>
      </c>
      <c r="DP17" s="3">
        <v>1</v>
      </c>
      <c r="DQ17" s="3">
        <v>1</v>
      </c>
      <c r="DR17" s="3">
        <v>1</v>
      </c>
      <c r="DS17" s="3">
        <v>1</v>
      </c>
      <c r="DT17" s="3">
        <v>1</v>
      </c>
      <c r="DU17" s="3">
        <v>1</v>
      </c>
      <c r="DV17" s="3">
        <v>1</v>
      </c>
      <c r="DW17" s="3">
        <v>1</v>
      </c>
      <c r="DX17" s="3">
        <v>1</v>
      </c>
      <c r="DY17" s="3">
        <v>1</v>
      </c>
      <c r="DZ17" s="3">
        <v>1</v>
      </c>
      <c r="EA17" s="3">
        <v>1</v>
      </c>
      <c r="EB17" s="3">
        <v>1</v>
      </c>
      <c r="EC17" s="3">
        <v>1</v>
      </c>
      <c r="ED17" s="3">
        <v>1</v>
      </c>
      <c r="EE17" s="3">
        <v>1</v>
      </c>
      <c r="EF17" s="3">
        <v>1</v>
      </c>
      <c r="EG17" s="3">
        <v>1</v>
      </c>
      <c r="EH17" s="3">
        <v>1</v>
      </c>
      <c r="EI17" s="3">
        <v>1</v>
      </c>
      <c r="EJ17" s="3">
        <v>1</v>
      </c>
      <c r="EK17" s="3">
        <v>1</v>
      </c>
      <c r="EL17" s="3">
        <v>1</v>
      </c>
      <c r="EM17" s="3">
        <v>1</v>
      </c>
      <c r="EN17" s="3">
        <v>1</v>
      </c>
      <c r="EO17" s="3">
        <v>1</v>
      </c>
      <c r="EP17" s="9">
        <v>1</v>
      </c>
    </row>
    <row r="18" spans="1:146" x14ac:dyDescent="0.3">
      <c r="A18" s="8" t="s">
        <v>71</v>
      </c>
      <c r="B18" s="3" t="s">
        <v>72</v>
      </c>
      <c r="C18" s="3">
        <v>1</v>
      </c>
      <c r="D18" s="3">
        <v>1</v>
      </c>
      <c r="E18" s="3">
        <v>1</v>
      </c>
      <c r="F18" s="3">
        <v>1</v>
      </c>
      <c r="G18" s="3">
        <v>1</v>
      </c>
      <c r="H18" s="3">
        <v>1</v>
      </c>
      <c r="I18" s="3">
        <v>1</v>
      </c>
      <c r="J18" s="3">
        <v>1</v>
      </c>
      <c r="K18" s="3">
        <v>1</v>
      </c>
      <c r="L18" s="3">
        <v>1</v>
      </c>
      <c r="M18" s="3">
        <v>1</v>
      </c>
      <c r="N18" s="3">
        <v>1</v>
      </c>
      <c r="O18" s="3">
        <v>1</v>
      </c>
      <c r="P18" s="3">
        <v>1</v>
      </c>
      <c r="Q18" s="3">
        <v>1</v>
      </c>
      <c r="R18" s="3">
        <v>1</v>
      </c>
      <c r="S18" s="3">
        <v>1</v>
      </c>
      <c r="T18" s="3">
        <v>1</v>
      </c>
      <c r="U18" s="3">
        <v>1</v>
      </c>
      <c r="V18" s="3">
        <v>1</v>
      </c>
      <c r="W18" s="3">
        <v>1</v>
      </c>
      <c r="X18" s="3">
        <v>1</v>
      </c>
      <c r="Y18" s="3">
        <v>1</v>
      </c>
      <c r="Z18" s="3">
        <v>1</v>
      </c>
      <c r="AA18" s="3">
        <v>1</v>
      </c>
      <c r="AB18" s="3">
        <v>1</v>
      </c>
      <c r="AC18" s="3">
        <v>1</v>
      </c>
      <c r="AD18" s="3">
        <v>1</v>
      </c>
      <c r="AE18" s="3">
        <v>1</v>
      </c>
      <c r="AF18" s="3">
        <v>1</v>
      </c>
      <c r="AG18" s="3">
        <v>1</v>
      </c>
      <c r="AH18" s="3">
        <v>1</v>
      </c>
      <c r="AI18" s="3">
        <v>1</v>
      </c>
      <c r="AJ18" s="3">
        <v>1</v>
      </c>
      <c r="AK18" s="3">
        <v>1</v>
      </c>
      <c r="AL18" s="3">
        <v>1</v>
      </c>
      <c r="AM18" s="3">
        <v>1</v>
      </c>
      <c r="AN18" s="3">
        <v>1</v>
      </c>
      <c r="AO18" s="3">
        <v>1</v>
      </c>
      <c r="AP18" s="3">
        <v>1</v>
      </c>
      <c r="AQ18" s="3">
        <v>1</v>
      </c>
      <c r="AR18" s="3">
        <v>1</v>
      </c>
      <c r="AS18" s="3">
        <v>1</v>
      </c>
      <c r="AT18" s="3">
        <v>1</v>
      </c>
      <c r="AU18" s="3">
        <v>1</v>
      </c>
      <c r="AV18" s="3">
        <v>1</v>
      </c>
      <c r="AW18" s="3">
        <v>1</v>
      </c>
      <c r="AX18" s="3">
        <v>1</v>
      </c>
      <c r="AY18" s="3">
        <v>1</v>
      </c>
      <c r="AZ18" s="3">
        <v>1</v>
      </c>
      <c r="BA18" s="3">
        <v>1</v>
      </c>
      <c r="BB18" s="3">
        <v>1</v>
      </c>
      <c r="BC18" s="3">
        <v>1</v>
      </c>
      <c r="BD18" s="3">
        <v>1</v>
      </c>
      <c r="BE18" s="3">
        <v>1</v>
      </c>
      <c r="BF18" s="3">
        <v>1</v>
      </c>
      <c r="BG18" s="3">
        <v>1</v>
      </c>
      <c r="BH18" s="3">
        <v>1</v>
      </c>
      <c r="BI18" s="3">
        <v>1</v>
      </c>
      <c r="BJ18" s="3">
        <v>1</v>
      </c>
      <c r="BK18" s="3">
        <v>1</v>
      </c>
      <c r="BL18" s="3">
        <v>1</v>
      </c>
      <c r="BM18" s="3">
        <v>1</v>
      </c>
      <c r="BN18" s="3">
        <v>1</v>
      </c>
      <c r="BO18" s="3">
        <v>1</v>
      </c>
      <c r="BP18" s="3">
        <v>1</v>
      </c>
      <c r="BQ18" s="3">
        <v>1</v>
      </c>
      <c r="BR18" s="3">
        <v>1</v>
      </c>
      <c r="BS18" s="3">
        <v>1</v>
      </c>
      <c r="BT18" s="3">
        <v>1</v>
      </c>
      <c r="BU18" s="3">
        <v>1</v>
      </c>
      <c r="BV18" s="3">
        <v>1</v>
      </c>
      <c r="BW18" s="3">
        <v>1</v>
      </c>
      <c r="BX18" s="3">
        <v>1</v>
      </c>
      <c r="BY18" s="3">
        <v>1</v>
      </c>
      <c r="BZ18" s="3">
        <v>1</v>
      </c>
      <c r="CA18" s="3">
        <v>1</v>
      </c>
      <c r="CB18" s="3">
        <v>1</v>
      </c>
      <c r="CC18" s="3">
        <v>1</v>
      </c>
      <c r="CD18" s="3">
        <v>1</v>
      </c>
      <c r="CE18" s="3">
        <v>1</v>
      </c>
      <c r="CF18" s="3">
        <v>1</v>
      </c>
      <c r="CG18" s="3">
        <v>1</v>
      </c>
      <c r="CH18" s="3">
        <v>1</v>
      </c>
      <c r="CI18" s="3">
        <v>1</v>
      </c>
      <c r="CJ18" s="3">
        <v>1</v>
      </c>
      <c r="CK18" s="3">
        <v>1</v>
      </c>
      <c r="CL18" s="3">
        <v>1</v>
      </c>
      <c r="CM18" s="3">
        <v>1</v>
      </c>
      <c r="CN18" s="3">
        <v>1</v>
      </c>
      <c r="CO18" s="3">
        <v>1</v>
      </c>
      <c r="CP18" s="3">
        <v>1</v>
      </c>
      <c r="CQ18" s="3">
        <v>1</v>
      </c>
      <c r="CR18" s="3">
        <v>1</v>
      </c>
      <c r="CS18" s="3">
        <v>1</v>
      </c>
      <c r="CT18" s="3">
        <v>1</v>
      </c>
      <c r="CU18" s="3">
        <v>1</v>
      </c>
      <c r="CV18" s="3">
        <v>1</v>
      </c>
      <c r="CW18" s="3">
        <v>1</v>
      </c>
      <c r="CX18" s="3">
        <v>1</v>
      </c>
      <c r="CY18" s="3">
        <v>1</v>
      </c>
      <c r="CZ18" s="3">
        <v>1</v>
      </c>
      <c r="DA18" s="3">
        <v>1</v>
      </c>
      <c r="DB18" s="3">
        <v>1</v>
      </c>
      <c r="DC18" s="3">
        <v>1</v>
      </c>
      <c r="DD18" s="3">
        <v>1</v>
      </c>
      <c r="DE18" s="3">
        <v>1</v>
      </c>
      <c r="DF18" s="3">
        <v>1</v>
      </c>
      <c r="DG18" s="3">
        <v>1</v>
      </c>
      <c r="DH18" s="3">
        <v>1</v>
      </c>
      <c r="DI18" s="3">
        <v>1</v>
      </c>
      <c r="DJ18" s="3">
        <v>1</v>
      </c>
      <c r="DK18" s="3">
        <v>1</v>
      </c>
      <c r="DL18" s="3">
        <v>1</v>
      </c>
      <c r="DM18" s="3">
        <v>1</v>
      </c>
      <c r="DN18" s="3">
        <v>1</v>
      </c>
      <c r="DO18" s="3">
        <v>1</v>
      </c>
      <c r="DP18" s="3">
        <v>1</v>
      </c>
      <c r="DQ18" s="3">
        <v>1</v>
      </c>
      <c r="DR18" s="3">
        <v>1</v>
      </c>
      <c r="DS18" s="3">
        <v>1</v>
      </c>
      <c r="DT18" s="3">
        <v>1</v>
      </c>
      <c r="DU18" s="3">
        <v>1</v>
      </c>
      <c r="DV18" s="3">
        <v>1</v>
      </c>
      <c r="DW18" s="3">
        <v>1</v>
      </c>
      <c r="DX18" s="3">
        <v>1</v>
      </c>
      <c r="DY18" s="3">
        <v>1</v>
      </c>
      <c r="DZ18" s="3">
        <v>1</v>
      </c>
      <c r="EA18" s="3">
        <v>1</v>
      </c>
      <c r="EB18" s="3">
        <v>1</v>
      </c>
      <c r="EC18" s="3">
        <v>1</v>
      </c>
      <c r="ED18" s="3">
        <v>1</v>
      </c>
      <c r="EE18" s="3">
        <v>1</v>
      </c>
      <c r="EF18" s="3">
        <v>1</v>
      </c>
      <c r="EG18" s="3">
        <v>1</v>
      </c>
      <c r="EH18" s="3">
        <v>1</v>
      </c>
      <c r="EI18" s="3">
        <v>1</v>
      </c>
      <c r="EJ18" s="3">
        <v>1</v>
      </c>
      <c r="EK18" s="3">
        <v>1</v>
      </c>
      <c r="EL18" s="3">
        <v>1</v>
      </c>
      <c r="EM18" s="3">
        <v>1</v>
      </c>
      <c r="EN18" s="3">
        <v>1</v>
      </c>
      <c r="EO18" s="3">
        <v>1</v>
      </c>
      <c r="EP18" s="9">
        <v>1</v>
      </c>
    </row>
    <row r="19" spans="1:146" x14ac:dyDescent="0.3">
      <c r="A19" s="8" t="s">
        <v>75</v>
      </c>
      <c r="B19" s="3" t="s">
        <v>76</v>
      </c>
      <c r="C19" s="3">
        <v>1</v>
      </c>
      <c r="D19" s="3">
        <v>1</v>
      </c>
      <c r="E19" s="3">
        <v>1</v>
      </c>
      <c r="F19" s="3">
        <v>1</v>
      </c>
      <c r="G19" s="3">
        <v>1</v>
      </c>
      <c r="H19" s="3">
        <v>1</v>
      </c>
      <c r="I19" s="3">
        <v>1</v>
      </c>
      <c r="J19" s="3">
        <v>1</v>
      </c>
      <c r="K19" s="3">
        <v>1</v>
      </c>
      <c r="L19" s="3">
        <v>1</v>
      </c>
      <c r="M19" s="3">
        <v>1</v>
      </c>
      <c r="N19" s="3">
        <v>1</v>
      </c>
      <c r="O19" s="3">
        <v>1</v>
      </c>
      <c r="P19" s="3">
        <v>1</v>
      </c>
      <c r="Q19" s="3">
        <v>1</v>
      </c>
      <c r="R19" s="3">
        <v>1</v>
      </c>
      <c r="S19" s="3">
        <v>1</v>
      </c>
      <c r="T19" s="3">
        <v>1</v>
      </c>
      <c r="U19" s="3">
        <v>1</v>
      </c>
      <c r="V19" s="3">
        <v>1</v>
      </c>
      <c r="W19" s="3">
        <v>1</v>
      </c>
      <c r="X19" s="3">
        <v>1</v>
      </c>
      <c r="Y19" s="3">
        <v>1</v>
      </c>
      <c r="Z19" s="3">
        <v>1</v>
      </c>
      <c r="AA19" s="3">
        <v>1</v>
      </c>
      <c r="AB19" s="3">
        <v>1</v>
      </c>
      <c r="AC19" s="3">
        <v>1</v>
      </c>
      <c r="AD19" s="3">
        <v>1</v>
      </c>
      <c r="AE19" s="3">
        <v>1</v>
      </c>
      <c r="AF19" s="3">
        <v>1</v>
      </c>
      <c r="AG19" s="3">
        <v>1</v>
      </c>
      <c r="AH19" s="3">
        <v>1</v>
      </c>
      <c r="AI19" s="3">
        <v>1</v>
      </c>
      <c r="AJ19" s="3">
        <v>1</v>
      </c>
      <c r="AK19" s="3">
        <v>1</v>
      </c>
      <c r="AL19" s="3">
        <v>1</v>
      </c>
      <c r="AM19" s="3">
        <v>1</v>
      </c>
      <c r="AN19" s="3">
        <v>1</v>
      </c>
      <c r="AO19" s="3">
        <v>1</v>
      </c>
      <c r="AP19" s="3">
        <v>1</v>
      </c>
      <c r="AQ19" s="3">
        <v>1</v>
      </c>
      <c r="AR19" s="3">
        <v>1</v>
      </c>
      <c r="AS19" s="3">
        <v>1</v>
      </c>
      <c r="AT19" s="3">
        <v>1</v>
      </c>
      <c r="AU19" s="3">
        <v>1</v>
      </c>
      <c r="AV19" s="3">
        <v>1</v>
      </c>
      <c r="AW19" s="3">
        <v>1</v>
      </c>
      <c r="AX19" s="3">
        <v>1</v>
      </c>
      <c r="AY19" s="3">
        <v>1</v>
      </c>
      <c r="AZ19" s="3">
        <v>1</v>
      </c>
      <c r="BA19" s="3">
        <v>1</v>
      </c>
      <c r="BB19" s="3">
        <v>1</v>
      </c>
      <c r="BC19" s="3">
        <v>1</v>
      </c>
      <c r="BD19" s="3">
        <v>1</v>
      </c>
      <c r="BE19" s="3">
        <v>1</v>
      </c>
      <c r="BF19" s="3">
        <v>1</v>
      </c>
      <c r="BG19" s="3">
        <v>1</v>
      </c>
      <c r="BH19" s="3">
        <v>1</v>
      </c>
      <c r="BI19" s="3">
        <v>1</v>
      </c>
      <c r="BJ19" s="3">
        <v>1</v>
      </c>
      <c r="BK19" s="3">
        <v>1</v>
      </c>
      <c r="BL19" s="3">
        <v>1</v>
      </c>
      <c r="BM19" s="3">
        <v>1</v>
      </c>
      <c r="BN19" s="3">
        <v>1</v>
      </c>
      <c r="BO19" s="3">
        <v>1</v>
      </c>
      <c r="BP19" s="3">
        <v>1</v>
      </c>
      <c r="BQ19" s="3">
        <v>1</v>
      </c>
      <c r="BR19" s="3">
        <v>1</v>
      </c>
      <c r="BS19" s="3">
        <v>1</v>
      </c>
      <c r="BT19" s="3">
        <v>1</v>
      </c>
      <c r="BU19" s="3">
        <v>1</v>
      </c>
      <c r="BV19" s="3">
        <v>1</v>
      </c>
      <c r="BW19" s="3">
        <v>1</v>
      </c>
      <c r="BX19" s="3">
        <v>1</v>
      </c>
      <c r="BY19" s="3">
        <v>1</v>
      </c>
      <c r="BZ19" s="3">
        <v>1</v>
      </c>
      <c r="CA19" s="3">
        <v>1</v>
      </c>
      <c r="CB19" s="3">
        <v>1</v>
      </c>
      <c r="CC19" s="3">
        <v>1</v>
      </c>
      <c r="CD19" s="3">
        <v>1</v>
      </c>
      <c r="CE19" s="3">
        <v>1</v>
      </c>
      <c r="CF19" s="3">
        <v>1</v>
      </c>
      <c r="CG19" s="3">
        <v>1</v>
      </c>
      <c r="CH19" s="3">
        <v>1</v>
      </c>
      <c r="CI19" s="3">
        <v>1</v>
      </c>
      <c r="CJ19" s="3">
        <v>1</v>
      </c>
      <c r="CK19" s="3">
        <v>1</v>
      </c>
      <c r="CL19" s="3">
        <v>1</v>
      </c>
      <c r="CM19" s="3">
        <v>1</v>
      </c>
      <c r="CN19" s="3">
        <v>1</v>
      </c>
      <c r="CO19" s="3">
        <v>1</v>
      </c>
      <c r="CP19" s="3">
        <v>1</v>
      </c>
      <c r="CQ19" s="3">
        <v>1</v>
      </c>
      <c r="CR19" s="3">
        <v>1</v>
      </c>
      <c r="CS19" s="3">
        <v>1</v>
      </c>
      <c r="CT19" s="3">
        <v>1</v>
      </c>
      <c r="CU19" s="3">
        <v>1</v>
      </c>
      <c r="CV19" s="3">
        <v>1</v>
      </c>
      <c r="CW19" s="3">
        <v>1</v>
      </c>
      <c r="CX19" s="3">
        <v>1</v>
      </c>
      <c r="CY19" s="3">
        <v>1</v>
      </c>
      <c r="CZ19" s="3">
        <v>1</v>
      </c>
      <c r="DA19" s="3">
        <v>1</v>
      </c>
      <c r="DB19" s="3">
        <v>1</v>
      </c>
      <c r="DC19" s="3">
        <v>1</v>
      </c>
      <c r="DD19" s="3">
        <v>1</v>
      </c>
      <c r="DE19" s="3">
        <v>1</v>
      </c>
      <c r="DF19" s="3">
        <v>1</v>
      </c>
      <c r="DG19" s="3">
        <v>1</v>
      </c>
      <c r="DH19" s="3">
        <v>1</v>
      </c>
      <c r="DI19" s="3">
        <v>1</v>
      </c>
      <c r="DJ19" s="3">
        <v>1</v>
      </c>
      <c r="DK19" s="3">
        <v>1</v>
      </c>
      <c r="DL19" s="3">
        <v>1</v>
      </c>
      <c r="DM19" s="3">
        <v>1</v>
      </c>
      <c r="DN19" s="3">
        <v>1</v>
      </c>
      <c r="DO19" s="3">
        <v>1</v>
      </c>
      <c r="DP19" s="3">
        <v>1</v>
      </c>
      <c r="DQ19" s="3">
        <v>1</v>
      </c>
      <c r="DR19" s="3">
        <v>1</v>
      </c>
      <c r="DS19" s="3">
        <v>1</v>
      </c>
      <c r="DT19" s="3">
        <v>1</v>
      </c>
      <c r="DU19" s="3">
        <v>1</v>
      </c>
      <c r="DV19" s="3">
        <v>1</v>
      </c>
      <c r="DW19" s="3">
        <v>1</v>
      </c>
      <c r="DX19" s="3">
        <v>1</v>
      </c>
      <c r="DY19" s="3">
        <v>1</v>
      </c>
      <c r="DZ19" s="3">
        <v>1</v>
      </c>
      <c r="EA19" s="3">
        <v>1</v>
      </c>
      <c r="EB19" s="3">
        <v>1</v>
      </c>
      <c r="EC19" s="3">
        <v>1</v>
      </c>
      <c r="ED19" s="3">
        <v>1</v>
      </c>
      <c r="EE19" s="3">
        <v>1</v>
      </c>
      <c r="EF19" s="3">
        <v>1</v>
      </c>
      <c r="EG19" s="3">
        <v>1</v>
      </c>
      <c r="EH19" s="3">
        <v>1</v>
      </c>
      <c r="EI19" s="3">
        <v>1</v>
      </c>
      <c r="EJ19" s="3">
        <v>1</v>
      </c>
      <c r="EK19" s="3">
        <v>1</v>
      </c>
      <c r="EL19" s="3">
        <v>1</v>
      </c>
      <c r="EM19" s="3">
        <v>1</v>
      </c>
      <c r="EN19" s="3">
        <v>1</v>
      </c>
      <c r="EO19" s="3">
        <v>1</v>
      </c>
      <c r="EP19" s="9">
        <v>1</v>
      </c>
    </row>
    <row r="20" spans="1:146" x14ac:dyDescent="0.3">
      <c r="A20" s="8" t="s">
        <v>87</v>
      </c>
      <c r="B20" s="3" t="s">
        <v>88</v>
      </c>
      <c r="C20" s="3">
        <v>1</v>
      </c>
      <c r="D20" s="3">
        <v>1</v>
      </c>
      <c r="E20" s="3">
        <v>1</v>
      </c>
      <c r="F20" s="3">
        <v>1</v>
      </c>
      <c r="G20" s="3">
        <v>1</v>
      </c>
      <c r="H20" s="3">
        <v>1</v>
      </c>
      <c r="I20" s="3">
        <v>1</v>
      </c>
      <c r="J20" s="3">
        <v>1</v>
      </c>
      <c r="K20" s="3">
        <v>1</v>
      </c>
      <c r="L20" s="3">
        <v>1</v>
      </c>
      <c r="M20" s="3">
        <v>1</v>
      </c>
      <c r="N20" s="3">
        <v>1</v>
      </c>
      <c r="O20" s="3">
        <v>1</v>
      </c>
      <c r="P20" s="3">
        <v>1</v>
      </c>
      <c r="Q20" s="3">
        <v>1</v>
      </c>
      <c r="R20" s="3">
        <v>1</v>
      </c>
      <c r="S20" s="3">
        <v>1</v>
      </c>
      <c r="T20" s="3">
        <v>1</v>
      </c>
      <c r="U20" s="3">
        <v>1</v>
      </c>
      <c r="V20" s="3">
        <v>1</v>
      </c>
      <c r="W20" s="3">
        <v>1</v>
      </c>
      <c r="X20" s="3">
        <v>1</v>
      </c>
      <c r="Y20" s="3">
        <v>1</v>
      </c>
      <c r="Z20" s="3">
        <v>1</v>
      </c>
      <c r="AA20" s="3">
        <v>1</v>
      </c>
      <c r="AB20" s="3">
        <v>1</v>
      </c>
      <c r="AC20" s="3">
        <v>1</v>
      </c>
      <c r="AD20" s="3">
        <v>1</v>
      </c>
      <c r="AE20" s="3">
        <v>1</v>
      </c>
      <c r="AF20" s="3">
        <v>1</v>
      </c>
      <c r="AG20" s="3">
        <v>1</v>
      </c>
      <c r="AH20" s="3">
        <v>1</v>
      </c>
      <c r="AI20" s="3">
        <v>1</v>
      </c>
      <c r="AJ20" s="3">
        <v>1</v>
      </c>
      <c r="AK20" s="3">
        <v>1</v>
      </c>
      <c r="AL20" s="3">
        <v>1</v>
      </c>
      <c r="AM20" s="3">
        <v>1</v>
      </c>
      <c r="AN20" s="3">
        <v>1</v>
      </c>
      <c r="AO20" s="3">
        <v>1</v>
      </c>
      <c r="AP20" s="3">
        <v>1</v>
      </c>
      <c r="AQ20" s="3">
        <v>1</v>
      </c>
      <c r="AR20" s="3">
        <v>1</v>
      </c>
      <c r="AS20" s="3">
        <v>1</v>
      </c>
      <c r="AT20" s="3">
        <v>1</v>
      </c>
      <c r="AU20" s="3">
        <v>1</v>
      </c>
      <c r="AV20" s="3">
        <v>1</v>
      </c>
      <c r="AW20" s="3">
        <v>1</v>
      </c>
      <c r="AX20" s="3">
        <v>1</v>
      </c>
      <c r="AY20" s="3">
        <v>1</v>
      </c>
      <c r="AZ20" s="3">
        <v>1</v>
      </c>
      <c r="BA20" s="3">
        <v>1</v>
      </c>
      <c r="BB20" s="3">
        <v>1</v>
      </c>
      <c r="BC20" s="3">
        <v>1</v>
      </c>
      <c r="BD20" s="3">
        <v>1</v>
      </c>
      <c r="BE20" s="3">
        <v>1</v>
      </c>
      <c r="BF20" s="3">
        <v>1</v>
      </c>
      <c r="BG20" s="3">
        <v>1</v>
      </c>
      <c r="BH20" s="3">
        <v>1</v>
      </c>
      <c r="BI20" s="3">
        <v>1</v>
      </c>
      <c r="BJ20" s="3">
        <v>1</v>
      </c>
      <c r="BK20" s="3">
        <v>1</v>
      </c>
      <c r="BL20" s="3">
        <v>1</v>
      </c>
      <c r="BM20" s="3">
        <v>1</v>
      </c>
      <c r="BN20" s="3">
        <v>1</v>
      </c>
      <c r="BO20" s="3">
        <v>1</v>
      </c>
      <c r="BP20" s="3">
        <v>1</v>
      </c>
      <c r="BQ20" s="3">
        <v>1</v>
      </c>
      <c r="BR20" s="3">
        <v>1</v>
      </c>
      <c r="BS20" s="3">
        <v>1</v>
      </c>
      <c r="BT20" s="3">
        <v>1</v>
      </c>
      <c r="BU20" s="3">
        <v>1</v>
      </c>
      <c r="BV20" s="3">
        <v>1</v>
      </c>
      <c r="BW20" s="3">
        <v>1</v>
      </c>
      <c r="BX20" s="3">
        <v>1</v>
      </c>
      <c r="BY20" s="3">
        <v>1</v>
      </c>
      <c r="BZ20" s="3">
        <v>1</v>
      </c>
      <c r="CA20" s="3">
        <v>1</v>
      </c>
      <c r="CB20" s="3">
        <v>1</v>
      </c>
      <c r="CC20" s="3">
        <v>1</v>
      </c>
      <c r="CD20" s="3">
        <v>1</v>
      </c>
      <c r="CE20" s="3">
        <v>1</v>
      </c>
      <c r="CF20" s="3">
        <v>1</v>
      </c>
      <c r="CG20" s="3">
        <v>1</v>
      </c>
      <c r="CH20" s="3">
        <v>1</v>
      </c>
      <c r="CI20" s="3">
        <v>1</v>
      </c>
      <c r="CJ20" s="3">
        <v>1</v>
      </c>
      <c r="CK20" s="3">
        <v>1</v>
      </c>
      <c r="CL20" s="3">
        <v>1</v>
      </c>
      <c r="CM20" s="3">
        <v>1</v>
      </c>
      <c r="CN20" s="3">
        <v>1</v>
      </c>
      <c r="CO20" s="3">
        <v>1</v>
      </c>
      <c r="CP20" s="3">
        <v>1</v>
      </c>
      <c r="CQ20" s="3">
        <v>1</v>
      </c>
      <c r="CR20" s="3">
        <v>1</v>
      </c>
      <c r="CS20" s="3">
        <v>1</v>
      </c>
      <c r="CT20" s="3">
        <v>1</v>
      </c>
      <c r="CU20" s="3">
        <v>1</v>
      </c>
      <c r="CV20" s="3">
        <v>1</v>
      </c>
      <c r="CW20" s="3">
        <v>1</v>
      </c>
      <c r="CX20" s="3">
        <v>1</v>
      </c>
      <c r="CY20" s="3">
        <v>1</v>
      </c>
      <c r="CZ20" s="3">
        <v>1</v>
      </c>
      <c r="DA20" s="3">
        <v>1</v>
      </c>
      <c r="DB20" s="3">
        <v>1</v>
      </c>
      <c r="DC20" s="3">
        <v>1</v>
      </c>
      <c r="DD20" s="3">
        <v>1</v>
      </c>
      <c r="DE20" s="3">
        <v>1</v>
      </c>
      <c r="DF20" s="3">
        <v>1</v>
      </c>
      <c r="DG20" s="3">
        <v>1</v>
      </c>
      <c r="DH20" s="3">
        <v>1</v>
      </c>
      <c r="DI20" s="3">
        <v>1</v>
      </c>
      <c r="DJ20" s="3">
        <v>1</v>
      </c>
      <c r="DK20" s="3">
        <v>1</v>
      </c>
      <c r="DL20" s="3">
        <v>1</v>
      </c>
      <c r="DM20" s="3">
        <v>1</v>
      </c>
      <c r="DN20" s="3">
        <v>1</v>
      </c>
      <c r="DO20" s="3">
        <v>1</v>
      </c>
      <c r="DP20" s="3">
        <v>1</v>
      </c>
      <c r="DQ20" s="3">
        <v>1</v>
      </c>
      <c r="DR20" s="3">
        <v>1</v>
      </c>
      <c r="DS20" s="3">
        <v>1</v>
      </c>
      <c r="DT20" s="3">
        <v>1</v>
      </c>
      <c r="DU20" s="3">
        <v>1</v>
      </c>
      <c r="DV20" s="3">
        <v>1</v>
      </c>
      <c r="DW20" s="3">
        <v>1</v>
      </c>
      <c r="DX20" s="3">
        <v>1</v>
      </c>
      <c r="DY20" s="3">
        <v>1</v>
      </c>
      <c r="DZ20" s="3">
        <v>1</v>
      </c>
      <c r="EA20" s="3">
        <v>1</v>
      </c>
      <c r="EB20" s="3">
        <v>1</v>
      </c>
      <c r="EC20" s="3">
        <v>1</v>
      </c>
      <c r="ED20" s="3">
        <v>1</v>
      </c>
      <c r="EE20" s="3">
        <v>1</v>
      </c>
      <c r="EF20" s="3">
        <v>1</v>
      </c>
      <c r="EG20" s="3">
        <v>1</v>
      </c>
      <c r="EH20" s="3">
        <v>1</v>
      </c>
      <c r="EI20" s="3">
        <v>1</v>
      </c>
      <c r="EJ20" s="3">
        <v>1</v>
      </c>
      <c r="EK20" s="3">
        <v>1</v>
      </c>
      <c r="EL20" s="3">
        <v>1</v>
      </c>
      <c r="EM20" s="3">
        <v>1</v>
      </c>
      <c r="EN20" s="3">
        <v>1</v>
      </c>
      <c r="EO20" s="3">
        <v>1</v>
      </c>
      <c r="EP20" s="9">
        <v>1</v>
      </c>
    </row>
    <row r="21" spans="1:146" x14ac:dyDescent="0.3">
      <c r="A21" s="8" t="s">
        <v>89</v>
      </c>
      <c r="B21" s="3" t="s">
        <v>90</v>
      </c>
      <c r="C21" s="3">
        <v>1</v>
      </c>
      <c r="D21" s="3">
        <v>1</v>
      </c>
      <c r="E21" s="3">
        <v>1</v>
      </c>
      <c r="F21" s="3">
        <v>1</v>
      </c>
      <c r="G21" s="3">
        <v>1</v>
      </c>
      <c r="H21" s="3">
        <v>1</v>
      </c>
      <c r="I21" s="3">
        <v>1</v>
      </c>
      <c r="J21" s="3">
        <v>1</v>
      </c>
      <c r="K21" s="3">
        <v>1</v>
      </c>
      <c r="L21" s="3">
        <v>1</v>
      </c>
      <c r="M21" s="3">
        <v>1</v>
      </c>
      <c r="N21" s="3">
        <v>1</v>
      </c>
      <c r="O21" s="3">
        <v>1</v>
      </c>
      <c r="P21" s="3">
        <v>1</v>
      </c>
      <c r="Q21" s="3">
        <v>1</v>
      </c>
      <c r="R21" s="3">
        <v>1</v>
      </c>
      <c r="S21" s="3">
        <v>1</v>
      </c>
      <c r="T21" s="3">
        <v>1</v>
      </c>
      <c r="U21" s="3">
        <v>1</v>
      </c>
      <c r="V21" s="3">
        <v>1</v>
      </c>
      <c r="W21" s="3">
        <v>1</v>
      </c>
      <c r="X21" s="3">
        <v>1</v>
      </c>
      <c r="Y21" s="3">
        <v>1</v>
      </c>
      <c r="Z21" s="3">
        <v>1</v>
      </c>
      <c r="AA21" s="3">
        <v>1</v>
      </c>
      <c r="AB21" s="3">
        <v>1</v>
      </c>
      <c r="AC21" s="3">
        <v>1</v>
      </c>
      <c r="AD21" s="3">
        <v>1</v>
      </c>
      <c r="AE21" s="3">
        <v>1</v>
      </c>
      <c r="AF21" s="3">
        <v>1</v>
      </c>
      <c r="AG21" s="3">
        <v>1</v>
      </c>
      <c r="AH21" s="3">
        <v>1</v>
      </c>
      <c r="AI21" s="3">
        <v>1</v>
      </c>
      <c r="AJ21" s="3">
        <v>1</v>
      </c>
      <c r="AK21" s="3">
        <v>1</v>
      </c>
      <c r="AL21" s="3">
        <v>1</v>
      </c>
      <c r="AM21" s="3">
        <v>1</v>
      </c>
      <c r="AN21" s="3">
        <v>1</v>
      </c>
      <c r="AO21" s="3">
        <v>1</v>
      </c>
      <c r="AP21" s="3">
        <v>1</v>
      </c>
      <c r="AQ21" s="3">
        <v>1</v>
      </c>
      <c r="AR21" s="3">
        <v>1</v>
      </c>
      <c r="AS21" s="3">
        <v>1</v>
      </c>
      <c r="AT21" s="3">
        <v>1</v>
      </c>
      <c r="AU21" s="3">
        <v>1</v>
      </c>
      <c r="AV21" s="3">
        <v>1</v>
      </c>
      <c r="AW21" s="3">
        <v>1</v>
      </c>
      <c r="AX21" s="3">
        <v>1</v>
      </c>
      <c r="AY21" s="3">
        <v>1</v>
      </c>
      <c r="AZ21" s="3">
        <v>1</v>
      </c>
      <c r="BA21" s="3">
        <v>1</v>
      </c>
      <c r="BB21" s="3">
        <v>1</v>
      </c>
      <c r="BC21" s="3">
        <v>1</v>
      </c>
      <c r="BD21" s="3">
        <v>1</v>
      </c>
      <c r="BE21" s="3">
        <v>1</v>
      </c>
      <c r="BF21" s="3">
        <v>1</v>
      </c>
      <c r="BG21" s="3">
        <v>1</v>
      </c>
      <c r="BH21" s="3">
        <v>1</v>
      </c>
      <c r="BI21" s="3">
        <v>1</v>
      </c>
      <c r="BJ21" s="3">
        <v>1</v>
      </c>
      <c r="BK21" s="3">
        <v>1</v>
      </c>
      <c r="BL21" s="3">
        <v>1</v>
      </c>
      <c r="BM21" s="3">
        <v>1</v>
      </c>
      <c r="BN21" s="3">
        <v>1</v>
      </c>
      <c r="BO21" s="3">
        <v>1</v>
      </c>
      <c r="BP21" s="3">
        <v>1</v>
      </c>
      <c r="BQ21" s="3">
        <v>1</v>
      </c>
      <c r="BR21" s="3">
        <v>1</v>
      </c>
      <c r="BS21" s="3">
        <v>1</v>
      </c>
      <c r="BT21" s="3">
        <v>1</v>
      </c>
      <c r="BU21" s="3">
        <v>1</v>
      </c>
      <c r="BV21" s="3">
        <v>1</v>
      </c>
      <c r="BW21" s="3">
        <v>1</v>
      </c>
      <c r="BX21" s="3">
        <v>1</v>
      </c>
      <c r="BY21" s="3">
        <v>1</v>
      </c>
      <c r="BZ21" s="3">
        <v>1</v>
      </c>
      <c r="CA21" s="3">
        <v>1</v>
      </c>
      <c r="CB21" s="3">
        <v>1</v>
      </c>
      <c r="CC21" s="3">
        <v>1</v>
      </c>
      <c r="CD21" s="3">
        <v>1</v>
      </c>
      <c r="CE21" s="3">
        <v>1</v>
      </c>
      <c r="CF21" s="3">
        <v>1</v>
      </c>
      <c r="CG21" s="3">
        <v>1</v>
      </c>
      <c r="CH21" s="3">
        <v>1</v>
      </c>
      <c r="CI21" s="3">
        <v>1</v>
      </c>
      <c r="CJ21" s="3">
        <v>1</v>
      </c>
      <c r="CK21" s="3">
        <v>1</v>
      </c>
      <c r="CL21" s="3">
        <v>1</v>
      </c>
      <c r="CM21" s="3">
        <v>1</v>
      </c>
      <c r="CN21" s="3">
        <v>1</v>
      </c>
      <c r="CO21" s="3">
        <v>1</v>
      </c>
      <c r="CP21" s="3">
        <v>1</v>
      </c>
      <c r="CQ21" s="3">
        <v>1</v>
      </c>
      <c r="CR21" s="3">
        <v>1</v>
      </c>
      <c r="CS21" s="3">
        <v>1</v>
      </c>
      <c r="CT21" s="3">
        <v>1</v>
      </c>
      <c r="CU21" s="3">
        <v>1</v>
      </c>
      <c r="CV21" s="3">
        <v>1</v>
      </c>
      <c r="CW21" s="3">
        <v>1</v>
      </c>
      <c r="CX21" s="3">
        <v>1</v>
      </c>
      <c r="CY21" s="3">
        <v>1</v>
      </c>
      <c r="CZ21" s="3">
        <v>1</v>
      </c>
      <c r="DA21" s="3">
        <v>1</v>
      </c>
      <c r="DB21" s="3">
        <v>1</v>
      </c>
      <c r="DC21" s="3">
        <v>1</v>
      </c>
      <c r="DD21" s="3">
        <v>1</v>
      </c>
      <c r="DE21" s="3">
        <v>1</v>
      </c>
      <c r="DF21" s="3">
        <v>1</v>
      </c>
      <c r="DG21" s="3">
        <v>1</v>
      </c>
      <c r="DH21" s="3">
        <v>1</v>
      </c>
      <c r="DI21" s="3">
        <v>1</v>
      </c>
      <c r="DJ21" s="3">
        <v>1</v>
      </c>
      <c r="DK21" s="3">
        <v>1</v>
      </c>
      <c r="DL21" s="3">
        <v>1</v>
      </c>
      <c r="DM21" s="3">
        <v>1</v>
      </c>
      <c r="DN21" s="3">
        <v>1</v>
      </c>
      <c r="DO21" s="3">
        <v>1</v>
      </c>
      <c r="DP21" s="3">
        <v>1</v>
      </c>
      <c r="DQ21" s="3">
        <v>1</v>
      </c>
      <c r="DR21" s="3">
        <v>1</v>
      </c>
      <c r="DS21" s="3">
        <v>1</v>
      </c>
      <c r="DT21" s="3">
        <v>1</v>
      </c>
      <c r="DU21" s="3">
        <v>1</v>
      </c>
      <c r="DV21" s="3">
        <v>1</v>
      </c>
      <c r="DW21" s="3">
        <v>1</v>
      </c>
      <c r="DX21" s="3">
        <v>1</v>
      </c>
      <c r="DY21" s="3">
        <v>1</v>
      </c>
      <c r="DZ21" s="3">
        <v>1</v>
      </c>
      <c r="EA21" s="3">
        <v>1</v>
      </c>
      <c r="EB21" s="3">
        <v>1</v>
      </c>
      <c r="EC21" s="3">
        <v>1</v>
      </c>
      <c r="ED21" s="3">
        <v>1</v>
      </c>
      <c r="EE21" s="3">
        <v>1</v>
      </c>
      <c r="EF21" s="3">
        <v>1</v>
      </c>
      <c r="EG21" s="3">
        <v>1</v>
      </c>
      <c r="EH21" s="3">
        <v>1</v>
      </c>
      <c r="EI21" s="3">
        <v>1</v>
      </c>
      <c r="EJ21" s="3">
        <v>1</v>
      </c>
      <c r="EK21" s="3">
        <v>1</v>
      </c>
      <c r="EL21" s="3">
        <v>1</v>
      </c>
      <c r="EM21" s="3">
        <v>1</v>
      </c>
      <c r="EN21" s="3">
        <v>1</v>
      </c>
      <c r="EO21" s="3">
        <v>1</v>
      </c>
      <c r="EP21" s="9">
        <v>1</v>
      </c>
    </row>
    <row r="22" spans="1:146" x14ac:dyDescent="0.3">
      <c r="A22" s="8" t="s">
        <v>91</v>
      </c>
      <c r="B22" s="3" t="s">
        <v>92</v>
      </c>
      <c r="C22" s="3">
        <v>1</v>
      </c>
      <c r="D22" s="3">
        <v>1</v>
      </c>
      <c r="E22" s="3">
        <v>1</v>
      </c>
      <c r="F22" s="3">
        <v>1</v>
      </c>
      <c r="G22" s="3">
        <v>1</v>
      </c>
      <c r="H22" s="3">
        <v>1</v>
      </c>
      <c r="I22" s="3">
        <v>1</v>
      </c>
      <c r="J22" s="3">
        <v>1</v>
      </c>
      <c r="K22" s="3">
        <v>1</v>
      </c>
      <c r="L22" s="3">
        <v>1</v>
      </c>
      <c r="M22" s="3">
        <v>1</v>
      </c>
      <c r="N22" s="3">
        <v>1</v>
      </c>
      <c r="O22" s="3">
        <v>1</v>
      </c>
      <c r="P22" s="3">
        <v>1</v>
      </c>
      <c r="Q22" s="3">
        <v>1</v>
      </c>
      <c r="R22" s="3">
        <v>1</v>
      </c>
      <c r="S22" s="3">
        <v>1</v>
      </c>
      <c r="T22" s="3">
        <v>1</v>
      </c>
      <c r="U22" s="3">
        <v>1</v>
      </c>
      <c r="V22" s="3">
        <v>1</v>
      </c>
      <c r="W22" s="3">
        <v>1</v>
      </c>
      <c r="X22" s="3">
        <v>1</v>
      </c>
      <c r="Y22" s="3">
        <v>1</v>
      </c>
      <c r="Z22" s="3">
        <v>1</v>
      </c>
      <c r="AA22" s="3">
        <v>1</v>
      </c>
      <c r="AB22" s="3">
        <v>1</v>
      </c>
      <c r="AC22" s="3">
        <v>1</v>
      </c>
      <c r="AD22" s="3">
        <v>1</v>
      </c>
      <c r="AE22" s="3">
        <v>1</v>
      </c>
      <c r="AF22" s="3">
        <v>1</v>
      </c>
      <c r="AG22" s="3">
        <v>1</v>
      </c>
      <c r="AH22" s="3">
        <v>1</v>
      </c>
      <c r="AI22" s="3">
        <v>1</v>
      </c>
      <c r="AJ22" s="3">
        <v>1</v>
      </c>
      <c r="AK22" s="3">
        <v>1</v>
      </c>
      <c r="AL22" s="3">
        <v>1</v>
      </c>
      <c r="AM22" s="3">
        <v>1</v>
      </c>
      <c r="AN22" s="3">
        <v>1</v>
      </c>
      <c r="AO22" s="3">
        <v>1</v>
      </c>
      <c r="AP22" s="3">
        <v>1</v>
      </c>
      <c r="AQ22" s="3">
        <v>1</v>
      </c>
      <c r="AR22" s="3">
        <v>1</v>
      </c>
      <c r="AS22" s="3">
        <v>1</v>
      </c>
      <c r="AT22" s="3">
        <v>1</v>
      </c>
      <c r="AU22" s="3">
        <v>1</v>
      </c>
      <c r="AV22" s="3">
        <v>1</v>
      </c>
      <c r="AW22" s="3">
        <v>1</v>
      </c>
      <c r="AX22" s="3">
        <v>1</v>
      </c>
      <c r="AY22" s="3">
        <v>1</v>
      </c>
      <c r="AZ22" s="3">
        <v>1</v>
      </c>
      <c r="BA22" s="3">
        <v>1</v>
      </c>
      <c r="BB22" s="3">
        <v>1</v>
      </c>
      <c r="BC22" s="3">
        <v>1</v>
      </c>
      <c r="BD22" s="3">
        <v>1</v>
      </c>
      <c r="BE22" s="3">
        <v>1</v>
      </c>
      <c r="BF22" s="3">
        <v>1</v>
      </c>
      <c r="BG22" s="3">
        <v>1</v>
      </c>
      <c r="BH22" s="3">
        <v>1</v>
      </c>
      <c r="BI22" s="3">
        <v>1</v>
      </c>
      <c r="BJ22" s="3">
        <v>1</v>
      </c>
      <c r="BK22" s="3">
        <v>1</v>
      </c>
      <c r="BL22" s="3">
        <v>1</v>
      </c>
      <c r="BM22" s="3">
        <v>1</v>
      </c>
      <c r="BN22" s="3">
        <v>1</v>
      </c>
      <c r="BO22" s="3">
        <v>1</v>
      </c>
      <c r="BP22" s="3">
        <v>1</v>
      </c>
      <c r="BQ22" s="3">
        <v>1</v>
      </c>
      <c r="BR22" s="3">
        <v>1</v>
      </c>
      <c r="BS22" s="3">
        <v>1</v>
      </c>
      <c r="BT22" s="3">
        <v>1</v>
      </c>
      <c r="BU22" s="3">
        <v>1</v>
      </c>
      <c r="BV22" s="3">
        <v>1</v>
      </c>
      <c r="BW22" s="3">
        <v>1</v>
      </c>
      <c r="BX22" s="3">
        <v>1</v>
      </c>
      <c r="BY22" s="3">
        <v>1</v>
      </c>
      <c r="BZ22" s="3">
        <v>1</v>
      </c>
      <c r="CA22" s="3">
        <v>1</v>
      </c>
      <c r="CB22" s="3">
        <v>1</v>
      </c>
      <c r="CC22" s="3">
        <v>1</v>
      </c>
      <c r="CD22" s="3">
        <v>1</v>
      </c>
      <c r="CE22" s="3">
        <v>1</v>
      </c>
      <c r="CF22" s="3">
        <v>1</v>
      </c>
      <c r="CG22" s="3">
        <v>1</v>
      </c>
      <c r="CH22" s="3">
        <v>1</v>
      </c>
      <c r="CI22" s="3">
        <v>1</v>
      </c>
      <c r="CJ22" s="3">
        <v>1</v>
      </c>
      <c r="CK22" s="3">
        <v>1</v>
      </c>
      <c r="CL22" s="3">
        <v>1</v>
      </c>
      <c r="CM22" s="3">
        <v>1</v>
      </c>
      <c r="CN22" s="3">
        <v>1</v>
      </c>
      <c r="CO22" s="3">
        <v>1</v>
      </c>
      <c r="CP22" s="3">
        <v>1</v>
      </c>
      <c r="CQ22" s="3">
        <v>1</v>
      </c>
      <c r="CR22" s="3">
        <v>1</v>
      </c>
      <c r="CS22" s="3">
        <v>1</v>
      </c>
      <c r="CT22" s="3">
        <v>1</v>
      </c>
      <c r="CU22" s="3">
        <v>1</v>
      </c>
      <c r="CV22" s="3">
        <v>1</v>
      </c>
      <c r="CW22" s="3">
        <v>1</v>
      </c>
      <c r="CX22" s="3">
        <v>1</v>
      </c>
      <c r="CY22" s="3">
        <v>1</v>
      </c>
      <c r="CZ22" s="3">
        <v>1</v>
      </c>
      <c r="DA22" s="3">
        <v>1</v>
      </c>
      <c r="DB22" s="3">
        <v>1</v>
      </c>
      <c r="DC22" s="3">
        <v>1</v>
      </c>
      <c r="DD22" s="3">
        <v>1</v>
      </c>
      <c r="DE22" s="3">
        <v>1</v>
      </c>
      <c r="DF22" s="3">
        <v>1</v>
      </c>
      <c r="DG22" s="3">
        <v>1</v>
      </c>
      <c r="DH22" s="3">
        <v>1</v>
      </c>
      <c r="DI22" s="3">
        <v>1</v>
      </c>
      <c r="DJ22" s="3">
        <v>1</v>
      </c>
      <c r="DK22" s="3">
        <v>1</v>
      </c>
      <c r="DL22" s="3">
        <v>1</v>
      </c>
      <c r="DM22" s="3">
        <v>1</v>
      </c>
      <c r="DN22" s="3">
        <v>1</v>
      </c>
      <c r="DO22" s="3">
        <v>1</v>
      </c>
      <c r="DP22" s="3">
        <v>1</v>
      </c>
      <c r="DQ22" s="3">
        <v>1</v>
      </c>
      <c r="DR22" s="3">
        <v>1</v>
      </c>
      <c r="DS22" s="3">
        <v>1</v>
      </c>
      <c r="DT22" s="3">
        <v>1</v>
      </c>
      <c r="DU22" s="3">
        <v>1</v>
      </c>
      <c r="DV22" s="3">
        <v>1</v>
      </c>
      <c r="DW22" s="3">
        <v>1</v>
      </c>
      <c r="DX22" s="3">
        <v>1</v>
      </c>
      <c r="DY22" s="3">
        <v>1</v>
      </c>
      <c r="DZ22" s="3">
        <v>1</v>
      </c>
      <c r="EA22" s="3">
        <v>1</v>
      </c>
      <c r="EB22" s="3">
        <v>1</v>
      </c>
      <c r="EC22" s="3">
        <v>1</v>
      </c>
      <c r="ED22" s="3">
        <v>1</v>
      </c>
      <c r="EE22" s="3">
        <v>1</v>
      </c>
      <c r="EF22" s="3">
        <v>1</v>
      </c>
      <c r="EG22" s="3">
        <v>1</v>
      </c>
      <c r="EH22" s="3">
        <v>1</v>
      </c>
      <c r="EI22" s="3">
        <v>1</v>
      </c>
      <c r="EJ22" s="3">
        <v>1</v>
      </c>
      <c r="EK22" s="3">
        <v>1</v>
      </c>
      <c r="EL22" s="3">
        <v>1</v>
      </c>
      <c r="EM22" s="3">
        <v>1</v>
      </c>
      <c r="EN22" s="3">
        <v>1</v>
      </c>
      <c r="EO22" s="3">
        <v>1</v>
      </c>
      <c r="EP22" s="9">
        <v>1</v>
      </c>
    </row>
    <row r="23" spans="1:146" x14ac:dyDescent="0.3">
      <c r="A23" s="8" t="s">
        <v>93</v>
      </c>
      <c r="B23" s="3" t="s">
        <v>94</v>
      </c>
      <c r="C23" s="3">
        <v>1</v>
      </c>
      <c r="D23" s="3">
        <v>1</v>
      </c>
      <c r="E23" s="3">
        <v>1</v>
      </c>
      <c r="F23" s="3">
        <v>1</v>
      </c>
      <c r="G23" s="3">
        <v>1</v>
      </c>
      <c r="H23" s="3">
        <v>1</v>
      </c>
      <c r="I23" s="3">
        <v>1</v>
      </c>
      <c r="J23" s="3">
        <v>1</v>
      </c>
      <c r="K23" s="3">
        <v>1</v>
      </c>
      <c r="L23" s="3">
        <v>1</v>
      </c>
      <c r="M23" s="3">
        <v>1</v>
      </c>
      <c r="N23" s="3">
        <v>1</v>
      </c>
      <c r="O23" s="3">
        <v>1</v>
      </c>
      <c r="P23" s="3">
        <v>1</v>
      </c>
      <c r="Q23" s="3">
        <v>1</v>
      </c>
      <c r="R23" s="3">
        <v>1</v>
      </c>
      <c r="S23" s="3">
        <v>1</v>
      </c>
      <c r="T23" s="3">
        <v>1</v>
      </c>
      <c r="U23" s="3">
        <v>1</v>
      </c>
      <c r="V23" s="3">
        <v>1</v>
      </c>
      <c r="W23" s="3">
        <v>1</v>
      </c>
      <c r="X23" s="3">
        <v>1</v>
      </c>
      <c r="Y23" s="3">
        <v>1</v>
      </c>
      <c r="Z23" s="3">
        <v>1</v>
      </c>
      <c r="AA23" s="3">
        <v>1</v>
      </c>
      <c r="AB23" s="3">
        <v>1</v>
      </c>
      <c r="AC23" s="3">
        <v>1</v>
      </c>
      <c r="AD23" s="3">
        <v>1</v>
      </c>
      <c r="AE23" s="3">
        <v>1</v>
      </c>
      <c r="AF23" s="3">
        <v>1</v>
      </c>
      <c r="AG23" s="3">
        <v>1</v>
      </c>
      <c r="AH23" s="3">
        <v>1</v>
      </c>
      <c r="AI23" s="3">
        <v>1</v>
      </c>
      <c r="AJ23" s="3">
        <v>1</v>
      </c>
      <c r="AK23" s="3">
        <v>1</v>
      </c>
      <c r="AL23" s="3">
        <v>1</v>
      </c>
      <c r="AM23" s="3">
        <v>1</v>
      </c>
      <c r="AN23" s="3">
        <v>1</v>
      </c>
      <c r="AO23" s="3">
        <v>1</v>
      </c>
      <c r="AP23" s="3">
        <v>1</v>
      </c>
      <c r="AQ23" s="3">
        <v>1</v>
      </c>
      <c r="AR23" s="3">
        <v>1</v>
      </c>
      <c r="AS23" s="3">
        <v>1</v>
      </c>
      <c r="AT23" s="3">
        <v>1</v>
      </c>
      <c r="AU23" s="3">
        <v>1</v>
      </c>
      <c r="AV23" s="3">
        <v>1</v>
      </c>
      <c r="AW23" s="3">
        <v>1</v>
      </c>
      <c r="AX23" s="3">
        <v>1</v>
      </c>
      <c r="AY23" s="3">
        <v>1</v>
      </c>
      <c r="AZ23" s="3">
        <v>1</v>
      </c>
      <c r="BA23" s="3">
        <v>1</v>
      </c>
      <c r="BB23" s="3">
        <v>1</v>
      </c>
      <c r="BC23" s="3">
        <v>1</v>
      </c>
      <c r="BD23" s="3">
        <v>1</v>
      </c>
      <c r="BE23" s="3">
        <v>1</v>
      </c>
      <c r="BF23" s="3">
        <v>1</v>
      </c>
      <c r="BG23" s="3">
        <v>1</v>
      </c>
      <c r="BH23" s="3">
        <v>1</v>
      </c>
      <c r="BI23" s="3">
        <v>1</v>
      </c>
      <c r="BJ23" s="3">
        <v>1</v>
      </c>
      <c r="BK23" s="3">
        <v>1</v>
      </c>
      <c r="BL23" s="3">
        <v>1</v>
      </c>
      <c r="BM23" s="3">
        <v>1</v>
      </c>
      <c r="BN23" s="3">
        <v>1</v>
      </c>
      <c r="BO23" s="3">
        <v>1</v>
      </c>
      <c r="BP23" s="3">
        <v>1</v>
      </c>
      <c r="BQ23" s="3">
        <v>1</v>
      </c>
      <c r="BR23" s="3">
        <v>1</v>
      </c>
      <c r="BS23" s="3">
        <v>1</v>
      </c>
      <c r="BT23" s="3">
        <v>1</v>
      </c>
      <c r="BU23" s="3">
        <v>1</v>
      </c>
      <c r="BV23" s="3">
        <v>1</v>
      </c>
      <c r="BW23" s="3">
        <v>1</v>
      </c>
      <c r="BX23" s="3">
        <v>1</v>
      </c>
      <c r="BY23" s="3">
        <v>1</v>
      </c>
      <c r="BZ23" s="3">
        <v>1</v>
      </c>
      <c r="CA23" s="3">
        <v>1</v>
      </c>
      <c r="CB23" s="3">
        <v>1</v>
      </c>
      <c r="CC23" s="3">
        <v>1</v>
      </c>
      <c r="CD23" s="3">
        <v>1</v>
      </c>
      <c r="CE23" s="3">
        <v>1</v>
      </c>
      <c r="CF23" s="3">
        <v>1</v>
      </c>
      <c r="CG23" s="3">
        <v>1</v>
      </c>
      <c r="CH23" s="3">
        <v>1</v>
      </c>
      <c r="CI23" s="3">
        <v>1</v>
      </c>
      <c r="CJ23" s="3">
        <v>1</v>
      </c>
      <c r="CK23" s="3">
        <v>1</v>
      </c>
      <c r="CL23" s="3">
        <v>1</v>
      </c>
      <c r="CM23" s="3">
        <v>1</v>
      </c>
      <c r="CN23" s="3">
        <v>1</v>
      </c>
      <c r="CO23" s="3">
        <v>1</v>
      </c>
      <c r="CP23" s="3">
        <v>1</v>
      </c>
      <c r="CQ23" s="3">
        <v>1</v>
      </c>
      <c r="CR23" s="3">
        <v>1</v>
      </c>
      <c r="CS23" s="3">
        <v>1</v>
      </c>
      <c r="CT23" s="3">
        <v>1</v>
      </c>
      <c r="CU23" s="3">
        <v>1</v>
      </c>
      <c r="CV23" s="3">
        <v>1</v>
      </c>
      <c r="CW23" s="3">
        <v>1</v>
      </c>
      <c r="CX23" s="3">
        <v>1</v>
      </c>
      <c r="CY23" s="3">
        <v>1</v>
      </c>
      <c r="CZ23" s="3">
        <v>1</v>
      </c>
      <c r="DA23" s="3">
        <v>1</v>
      </c>
      <c r="DB23" s="3">
        <v>1</v>
      </c>
      <c r="DC23" s="3">
        <v>1</v>
      </c>
      <c r="DD23" s="3">
        <v>1</v>
      </c>
      <c r="DE23" s="3">
        <v>1</v>
      </c>
      <c r="DF23" s="3">
        <v>1</v>
      </c>
      <c r="DG23" s="3">
        <v>1</v>
      </c>
      <c r="DH23" s="3">
        <v>1</v>
      </c>
      <c r="DI23" s="3">
        <v>1</v>
      </c>
      <c r="DJ23" s="3">
        <v>1</v>
      </c>
      <c r="DK23" s="3">
        <v>1</v>
      </c>
      <c r="DL23" s="3">
        <v>1</v>
      </c>
      <c r="DM23" s="3">
        <v>1</v>
      </c>
      <c r="DN23" s="3">
        <v>1</v>
      </c>
      <c r="DO23" s="3">
        <v>1</v>
      </c>
      <c r="DP23" s="3">
        <v>1</v>
      </c>
      <c r="DQ23" s="3">
        <v>1</v>
      </c>
      <c r="DR23" s="3">
        <v>1</v>
      </c>
      <c r="DS23" s="3">
        <v>1</v>
      </c>
      <c r="DT23" s="3">
        <v>1</v>
      </c>
      <c r="DU23" s="3">
        <v>1</v>
      </c>
      <c r="DV23" s="3">
        <v>1</v>
      </c>
      <c r="DW23" s="3">
        <v>1</v>
      </c>
      <c r="DX23" s="3">
        <v>1</v>
      </c>
      <c r="DY23" s="3">
        <v>1</v>
      </c>
      <c r="DZ23" s="3">
        <v>1</v>
      </c>
      <c r="EA23" s="3">
        <v>1</v>
      </c>
      <c r="EB23" s="3">
        <v>1</v>
      </c>
      <c r="EC23" s="3">
        <v>1</v>
      </c>
      <c r="ED23" s="3">
        <v>1</v>
      </c>
      <c r="EE23" s="3">
        <v>1</v>
      </c>
      <c r="EF23" s="3">
        <v>1</v>
      </c>
      <c r="EG23" s="3">
        <v>1</v>
      </c>
      <c r="EH23" s="3">
        <v>1</v>
      </c>
      <c r="EI23" s="3">
        <v>1</v>
      </c>
      <c r="EJ23" s="3">
        <v>1</v>
      </c>
      <c r="EK23" s="3">
        <v>1</v>
      </c>
      <c r="EL23" s="3">
        <v>1</v>
      </c>
      <c r="EM23" s="3">
        <v>1</v>
      </c>
      <c r="EN23" s="3">
        <v>1</v>
      </c>
      <c r="EO23" s="3">
        <v>1</v>
      </c>
      <c r="EP23" s="9">
        <v>1</v>
      </c>
    </row>
    <row r="24" spans="1:146" x14ac:dyDescent="0.3">
      <c r="A24" s="8" t="s">
        <v>95</v>
      </c>
      <c r="B24" s="3" t="s">
        <v>96</v>
      </c>
      <c r="C24" s="3">
        <v>1</v>
      </c>
      <c r="D24" s="3">
        <v>1</v>
      </c>
      <c r="E24" s="3">
        <v>1</v>
      </c>
      <c r="F24" s="3">
        <v>1</v>
      </c>
      <c r="G24" s="3">
        <v>1</v>
      </c>
      <c r="H24" s="3">
        <v>1</v>
      </c>
      <c r="I24" s="3">
        <v>1</v>
      </c>
      <c r="J24" s="3">
        <v>1</v>
      </c>
      <c r="K24" s="3">
        <v>1</v>
      </c>
      <c r="L24" s="3">
        <v>1</v>
      </c>
      <c r="M24" s="3">
        <v>1</v>
      </c>
      <c r="N24" s="3">
        <v>1</v>
      </c>
      <c r="O24" s="3">
        <v>1</v>
      </c>
      <c r="P24" s="3">
        <v>1</v>
      </c>
      <c r="Q24" s="3">
        <v>1</v>
      </c>
      <c r="R24" s="3">
        <v>1</v>
      </c>
      <c r="S24" s="3">
        <v>1</v>
      </c>
      <c r="T24" s="3">
        <v>1</v>
      </c>
      <c r="U24" s="3">
        <v>1</v>
      </c>
      <c r="V24" s="3">
        <v>1</v>
      </c>
      <c r="W24" s="3">
        <v>1</v>
      </c>
      <c r="X24" s="3">
        <v>1</v>
      </c>
      <c r="Y24" s="3">
        <v>1</v>
      </c>
      <c r="Z24" s="3">
        <v>1</v>
      </c>
      <c r="AA24" s="3">
        <v>1</v>
      </c>
      <c r="AB24" s="3">
        <v>1</v>
      </c>
      <c r="AC24" s="3">
        <v>1</v>
      </c>
      <c r="AD24" s="3">
        <v>1</v>
      </c>
      <c r="AE24" s="3">
        <v>1</v>
      </c>
      <c r="AF24" s="3">
        <v>1</v>
      </c>
      <c r="AG24" s="3">
        <v>1</v>
      </c>
      <c r="AH24" s="3">
        <v>1</v>
      </c>
      <c r="AI24" s="3">
        <v>1</v>
      </c>
      <c r="AJ24" s="3">
        <v>1</v>
      </c>
      <c r="AK24" s="3">
        <v>1</v>
      </c>
      <c r="AL24" s="3">
        <v>1</v>
      </c>
      <c r="AM24" s="3">
        <v>1</v>
      </c>
      <c r="AN24" s="3">
        <v>1</v>
      </c>
      <c r="AO24" s="3">
        <v>1</v>
      </c>
      <c r="AP24" s="3">
        <v>1</v>
      </c>
      <c r="AQ24" s="3">
        <v>1</v>
      </c>
      <c r="AR24" s="3">
        <v>1</v>
      </c>
      <c r="AS24" s="3">
        <v>1</v>
      </c>
      <c r="AT24" s="3">
        <v>1</v>
      </c>
      <c r="AU24" s="3">
        <v>1</v>
      </c>
      <c r="AV24" s="3">
        <v>1</v>
      </c>
      <c r="AW24" s="3">
        <v>1</v>
      </c>
      <c r="AX24" s="3">
        <v>1</v>
      </c>
      <c r="AY24" s="3">
        <v>1</v>
      </c>
      <c r="AZ24" s="3">
        <v>1</v>
      </c>
      <c r="BA24" s="3">
        <v>1</v>
      </c>
      <c r="BB24" s="3">
        <v>1</v>
      </c>
      <c r="BC24" s="3">
        <v>1</v>
      </c>
      <c r="BD24" s="3">
        <v>1</v>
      </c>
      <c r="BE24" s="3">
        <v>1</v>
      </c>
      <c r="BF24" s="3">
        <v>1</v>
      </c>
      <c r="BG24" s="3">
        <v>1</v>
      </c>
      <c r="BH24" s="3">
        <v>1</v>
      </c>
      <c r="BI24" s="3">
        <v>1</v>
      </c>
      <c r="BJ24" s="3">
        <v>1</v>
      </c>
      <c r="BK24" s="3">
        <v>1</v>
      </c>
      <c r="BL24" s="3">
        <v>1</v>
      </c>
      <c r="BM24" s="3">
        <v>1</v>
      </c>
      <c r="BN24" s="3">
        <v>1</v>
      </c>
      <c r="BO24" s="3">
        <v>1</v>
      </c>
      <c r="BP24" s="3">
        <v>1</v>
      </c>
      <c r="BQ24" s="3">
        <v>1</v>
      </c>
      <c r="BR24" s="3">
        <v>1</v>
      </c>
      <c r="BS24" s="3">
        <v>1</v>
      </c>
      <c r="BT24" s="3">
        <v>1</v>
      </c>
      <c r="BU24" s="3">
        <v>1</v>
      </c>
      <c r="BV24" s="3">
        <v>1</v>
      </c>
      <c r="BW24" s="3">
        <v>1</v>
      </c>
      <c r="BX24" s="3">
        <v>1</v>
      </c>
      <c r="BY24" s="3">
        <v>1</v>
      </c>
      <c r="BZ24" s="3">
        <v>1</v>
      </c>
      <c r="CA24" s="3">
        <v>1</v>
      </c>
      <c r="CB24" s="3">
        <v>1</v>
      </c>
      <c r="CC24" s="3">
        <v>1</v>
      </c>
      <c r="CD24" s="3">
        <v>1</v>
      </c>
      <c r="CE24" s="3">
        <v>1</v>
      </c>
      <c r="CF24" s="3">
        <v>1</v>
      </c>
      <c r="CG24" s="3">
        <v>1</v>
      </c>
      <c r="CH24" s="3">
        <v>1</v>
      </c>
      <c r="CI24" s="3">
        <v>1</v>
      </c>
      <c r="CJ24" s="3">
        <v>1</v>
      </c>
      <c r="CK24" s="3">
        <v>1</v>
      </c>
      <c r="CL24" s="3">
        <v>1</v>
      </c>
      <c r="CM24" s="3">
        <v>1</v>
      </c>
      <c r="CN24" s="3">
        <v>1</v>
      </c>
      <c r="CO24" s="3">
        <v>1</v>
      </c>
      <c r="CP24" s="3">
        <v>1</v>
      </c>
      <c r="CQ24" s="3">
        <v>1</v>
      </c>
      <c r="CR24" s="3">
        <v>1</v>
      </c>
      <c r="CS24" s="3">
        <v>1</v>
      </c>
      <c r="CT24" s="3">
        <v>1</v>
      </c>
      <c r="CU24" s="3">
        <v>1</v>
      </c>
      <c r="CV24" s="3">
        <v>1</v>
      </c>
      <c r="CW24" s="3">
        <v>1</v>
      </c>
      <c r="CX24" s="3">
        <v>1</v>
      </c>
      <c r="CY24" s="3">
        <v>1</v>
      </c>
      <c r="CZ24" s="3">
        <v>1</v>
      </c>
      <c r="DA24" s="3">
        <v>1</v>
      </c>
      <c r="DB24" s="3">
        <v>1</v>
      </c>
      <c r="DC24" s="3">
        <v>1</v>
      </c>
      <c r="DD24" s="3">
        <v>1</v>
      </c>
      <c r="DE24" s="3">
        <v>1</v>
      </c>
      <c r="DF24" s="3">
        <v>1</v>
      </c>
      <c r="DG24" s="3">
        <v>1</v>
      </c>
      <c r="DH24" s="3">
        <v>1</v>
      </c>
      <c r="DI24" s="3">
        <v>1</v>
      </c>
      <c r="DJ24" s="3">
        <v>1</v>
      </c>
      <c r="DK24" s="3">
        <v>1</v>
      </c>
      <c r="DL24" s="3">
        <v>1</v>
      </c>
      <c r="DM24" s="3">
        <v>1</v>
      </c>
      <c r="DN24" s="3">
        <v>1</v>
      </c>
      <c r="DO24" s="3">
        <v>1</v>
      </c>
      <c r="DP24" s="3">
        <v>1</v>
      </c>
      <c r="DQ24" s="3">
        <v>1</v>
      </c>
      <c r="DR24" s="3">
        <v>1</v>
      </c>
      <c r="DS24" s="3">
        <v>1</v>
      </c>
      <c r="DT24" s="3">
        <v>1</v>
      </c>
      <c r="DU24" s="3">
        <v>1</v>
      </c>
      <c r="DV24" s="3">
        <v>1</v>
      </c>
      <c r="DW24" s="3">
        <v>1</v>
      </c>
      <c r="DX24" s="3">
        <v>1</v>
      </c>
      <c r="DY24" s="3">
        <v>1</v>
      </c>
      <c r="DZ24" s="3">
        <v>1</v>
      </c>
      <c r="EA24" s="3">
        <v>1</v>
      </c>
      <c r="EB24" s="3">
        <v>1</v>
      </c>
      <c r="EC24" s="3">
        <v>1</v>
      </c>
      <c r="ED24" s="3">
        <v>1</v>
      </c>
      <c r="EE24" s="3">
        <v>1</v>
      </c>
      <c r="EF24" s="3">
        <v>1</v>
      </c>
      <c r="EG24" s="3">
        <v>1</v>
      </c>
      <c r="EH24" s="3">
        <v>1</v>
      </c>
      <c r="EI24" s="3">
        <v>1</v>
      </c>
      <c r="EJ24" s="3">
        <v>1</v>
      </c>
      <c r="EK24" s="3">
        <v>1</v>
      </c>
      <c r="EL24" s="3">
        <v>1</v>
      </c>
      <c r="EM24" s="3">
        <v>1</v>
      </c>
      <c r="EN24" s="3">
        <v>1</v>
      </c>
      <c r="EO24" s="3">
        <v>1</v>
      </c>
      <c r="EP24" s="9">
        <v>1</v>
      </c>
    </row>
    <row r="25" spans="1:146" x14ac:dyDescent="0.3">
      <c r="A25" s="8" t="s">
        <v>97</v>
      </c>
      <c r="B25" s="3" t="s">
        <v>97</v>
      </c>
      <c r="C25" s="3">
        <v>1</v>
      </c>
      <c r="D25" s="3">
        <v>1</v>
      </c>
      <c r="E25" s="3">
        <v>1</v>
      </c>
      <c r="F25" s="3">
        <v>1</v>
      </c>
      <c r="G25" s="3">
        <v>1</v>
      </c>
      <c r="H25" s="3">
        <v>1</v>
      </c>
      <c r="I25" s="3">
        <v>1</v>
      </c>
      <c r="J25" s="3">
        <v>1</v>
      </c>
      <c r="K25" s="3">
        <v>1</v>
      </c>
      <c r="L25" s="3">
        <v>1</v>
      </c>
      <c r="M25" s="3">
        <v>1</v>
      </c>
      <c r="N25" s="3">
        <v>1</v>
      </c>
      <c r="O25" s="3">
        <v>1</v>
      </c>
      <c r="P25" s="3">
        <v>1</v>
      </c>
      <c r="Q25" s="3">
        <v>1</v>
      </c>
      <c r="R25" s="3">
        <v>1</v>
      </c>
      <c r="S25" s="3">
        <v>1</v>
      </c>
      <c r="T25" s="3">
        <v>1</v>
      </c>
      <c r="U25" s="3">
        <v>1</v>
      </c>
      <c r="V25" s="3">
        <v>1</v>
      </c>
      <c r="W25" s="3">
        <v>1</v>
      </c>
      <c r="X25" s="3">
        <v>1</v>
      </c>
      <c r="Y25" s="3">
        <v>1</v>
      </c>
      <c r="Z25" s="3">
        <v>1</v>
      </c>
      <c r="AA25" s="3">
        <v>1</v>
      </c>
      <c r="AB25" s="3">
        <v>1</v>
      </c>
      <c r="AC25" s="3">
        <v>1</v>
      </c>
      <c r="AD25" s="3">
        <v>1</v>
      </c>
      <c r="AE25" s="3">
        <v>1</v>
      </c>
      <c r="AF25" s="3">
        <v>1</v>
      </c>
      <c r="AG25" s="3">
        <v>1</v>
      </c>
      <c r="AH25" s="3">
        <v>1</v>
      </c>
      <c r="AI25" s="3">
        <v>1</v>
      </c>
      <c r="AJ25" s="3">
        <v>1</v>
      </c>
      <c r="AK25" s="3">
        <v>1</v>
      </c>
      <c r="AL25" s="3">
        <v>1</v>
      </c>
      <c r="AM25" s="3">
        <v>1</v>
      </c>
      <c r="AN25" s="3">
        <v>1</v>
      </c>
      <c r="AO25" s="3">
        <v>1</v>
      </c>
      <c r="AP25" s="3">
        <v>1</v>
      </c>
      <c r="AQ25" s="3">
        <v>1</v>
      </c>
      <c r="AR25" s="3">
        <v>1</v>
      </c>
      <c r="AS25" s="3">
        <v>1</v>
      </c>
      <c r="AT25" s="3">
        <v>1</v>
      </c>
      <c r="AU25" s="3">
        <v>1</v>
      </c>
      <c r="AV25" s="3">
        <v>1</v>
      </c>
      <c r="AW25" s="3">
        <v>1</v>
      </c>
      <c r="AX25" s="3">
        <v>1</v>
      </c>
      <c r="AY25" s="3">
        <v>1</v>
      </c>
      <c r="AZ25" s="3">
        <v>1</v>
      </c>
      <c r="BA25" s="3">
        <v>1</v>
      </c>
      <c r="BB25" s="3">
        <v>1</v>
      </c>
      <c r="BC25" s="3">
        <v>1</v>
      </c>
      <c r="BD25" s="3">
        <v>1</v>
      </c>
      <c r="BE25" s="3">
        <v>1</v>
      </c>
      <c r="BF25" s="3">
        <v>1</v>
      </c>
      <c r="BG25" s="3">
        <v>1</v>
      </c>
      <c r="BH25" s="3">
        <v>1</v>
      </c>
      <c r="BI25" s="3">
        <v>1</v>
      </c>
      <c r="BJ25" s="3">
        <v>1</v>
      </c>
      <c r="BK25" s="3">
        <v>1</v>
      </c>
      <c r="BL25" s="3">
        <v>1</v>
      </c>
      <c r="BM25" s="3">
        <v>1</v>
      </c>
      <c r="BN25" s="3">
        <v>1</v>
      </c>
      <c r="BO25" s="3">
        <v>1</v>
      </c>
      <c r="BP25" s="3">
        <v>1</v>
      </c>
      <c r="BQ25" s="3">
        <v>1</v>
      </c>
      <c r="BR25" s="3">
        <v>1</v>
      </c>
      <c r="BS25" s="3">
        <v>1</v>
      </c>
      <c r="BT25" s="3">
        <v>1</v>
      </c>
      <c r="BU25" s="3">
        <v>1</v>
      </c>
      <c r="BV25" s="3">
        <v>1</v>
      </c>
      <c r="BW25" s="3">
        <v>1</v>
      </c>
      <c r="BX25" s="3">
        <v>1</v>
      </c>
      <c r="BY25" s="3">
        <v>1</v>
      </c>
      <c r="BZ25" s="3">
        <v>1</v>
      </c>
      <c r="CA25" s="3">
        <v>1</v>
      </c>
      <c r="CB25" s="3">
        <v>1</v>
      </c>
      <c r="CC25" s="3">
        <v>1</v>
      </c>
      <c r="CD25" s="3">
        <v>1</v>
      </c>
      <c r="CE25" s="3">
        <v>1</v>
      </c>
      <c r="CF25" s="3">
        <v>1</v>
      </c>
      <c r="CG25" s="3">
        <v>1</v>
      </c>
      <c r="CH25" s="3">
        <v>1</v>
      </c>
      <c r="CI25" s="3">
        <v>1</v>
      </c>
      <c r="CJ25" s="3">
        <v>1</v>
      </c>
      <c r="CK25" s="3">
        <v>1</v>
      </c>
      <c r="CL25" s="3">
        <v>1</v>
      </c>
      <c r="CM25" s="3">
        <v>1</v>
      </c>
      <c r="CN25" s="3">
        <v>1</v>
      </c>
      <c r="CO25" s="3">
        <v>1</v>
      </c>
      <c r="CP25" s="3">
        <v>1</v>
      </c>
      <c r="CQ25" s="3">
        <v>1</v>
      </c>
      <c r="CR25" s="3">
        <v>1</v>
      </c>
      <c r="CS25" s="3">
        <v>1</v>
      </c>
      <c r="CT25" s="3">
        <v>1</v>
      </c>
      <c r="CU25" s="3">
        <v>1</v>
      </c>
      <c r="CV25" s="3">
        <v>1</v>
      </c>
      <c r="CW25" s="3">
        <v>1</v>
      </c>
      <c r="CX25" s="3">
        <v>1</v>
      </c>
      <c r="CY25" s="3">
        <v>1</v>
      </c>
      <c r="CZ25" s="3">
        <v>1</v>
      </c>
      <c r="DA25" s="3">
        <v>1</v>
      </c>
      <c r="DB25" s="3">
        <v>1</v>
      </c>
      <c r="DC25" s="3">
        <v>1</v>
      </c>
      <c r="DD25" s="3">
        <v>1</v>
      </c>
      <c r="DE25" s="3">
        <v>1</v>
      </c>
      <c r="DF25" s="3">
        <v>1</v>
      </c>
      <c r="DG25" s="3">
        <v>1</v>
      </c>
      <c r="DH25" s="3">
        <v>1</v>
      </c>
      <c r="DI25" s="3">
        <v>1</v>
      </c>
      <c r="DJ25" s="3">
        <v>1</v>
      </c>
      <c r="DK25" s="3">
        <v>1</v>
      </c>
      <c r="DL25" s="3">
        <v>1</v>
      </c>
      <c r="DM25" s="3">
        <v>1</v>
      </c>
      <c r="DN25" s="3">
        <v>1</v>
      </c>
      <c r="DO25" s="3">
        <v>1</v>
      </c>
      <c r="DP25" s="3">
        <v>1</v>
      </c>
      <c r="DQ25" s="3">
        <v>1</v>
      </c>
      <c r="DR25" s="3">
        <v>1</v>
      </c>
      <c r="DS25" s="3">
        <v>1</v>
      </c>
      <c r="DT25" s="3">
        <v>1</v>
      </c>
      <c r="DU25" s="3">
        <v>1</v>
      </c>
      <c r="DV25" s="3">
        <v>1</v>
      </c>
      <c r="DW25" s="3">
        <v>1</v>
      </c>
      <c r="DX25" s="3">
        <v>1</v>
      </c>
      <c r="DY25" s="3">
        <v>1</v>
      </c>
      <c r="DZ25" s="3">
        <v>1</v>
      </c>
      <c r="EA25" s="3">
        <v>1</v>
      </c>
      <c r="EB25" s="3">
        <v>1</v>
      </c>
      <c r="EC25" s="3">
        <v>1</v>
      </c>
      <c r="ED25" s="3">
        <v>1</v>
      </c>
      <c r="EE25" s="3">
        <v>1</v>
      </c>
      <c r="EF25" s="3">
        <v>1</v>
      </c>
      <c r="EG25" s="3">
        <v>1</v>
      </c>
      <c r="EH25" s="3">
        <v>1</v>
      </c>
      <c r="EI25" s="3">
        <v>1</v>
      </c>
      <c r="EJ25" s="3">
        <v>1</v>
      </c>
      <c r="EK25" s="3">
        <v>1</v>
      </c>
      <c r="EL25" s="3">
        <v>1</v>
      </c>
      <c r="EM25" s="3">
        <v>1</v>
      </c>
      <c r="EN25" s="3">
        <v>1</v>
      </c>
      <c r="EO25" s="3">
        <v>1</v>
      </c>
      <c r="EP25" s="9">
        <v>1</v>
      </c>
    </row>
    <row r="26" spans="1:146" x14ac:dyDescent="0.3">
      <c r="A26" s="8" t="s">
        <v>100</v>
      </c>
      <c r="B26" s="3" t="s">
        <v>101</v>
      </c>
      <c r="C26" s="3">
        <v>1</v>
      </c>
      <c r="D26" s="3">
        <v>1</v>
      </c>
      <c r="E26" s="3">
        <v>1</v>
      </c>
      <c r="F26" s="3">
        <v>1</v>
      </c>
      <c r="G26" s="3">
        <v>1</v>
      </c>
      <c r="H26" s="3">
        <v>1</v>
      </c>
      <c r="I26" s="3">
        <v>1</v>
      </c>
      <c r="J26" s="3">
        <v>1</v>
      </c>
      <c r="K26" s="3">
        <v>1</v>
      </c>
      <c r="L26" s="3">
        <v>1</v>
      </c>
      <c r="M26" s="3">
        <v>1</v>
      </c>
      <c r="N26" s="3">
        <v>1</v>
      </c>
      <c r="O26" s="3">
        <v>1</v>
      </c>
      <c r="P26" s="3">
        <v>1</v>
      </c>
      <c r="Q26" s="3">
        <v>1</v>
      </c>
      <c r="R26" s="3">
        <v>1</v>
      </c>
      <c r="S26" s="3">
        <v>1</v>
      </c>
      <c r="T26" s="3">
        <v>1</v>
      </c>
      <c r="U26" s="3">
        <v>1</v>
      </c>
      <c r="V26" s="3">
        <v>1</v>
      </c>
      <c r="W26" s="3">
        <v>1</v>
      </c>
      <c r="X26" s="3">
        <v>1</v>
      </c>
      <c r="Y26" s="3">
        <v>1</v>
      </c>
      <c r="Z26" s="3">
        <v>1</v>
      </c>
      <c r="AA26" s="3">
        <v>1</v>
      </c>
      <c r="AB26" s="3">
        <v>1</v>
      </c>
      <c r="AC26" s="3">
        <v>1</v>
      </c>
      <c r="AD26" s="3">
        <v>1</v>
      </c>
      <c r="AE26" s="3">
        <v>1</v>
      </c>
      <c r="AF26" s="3">
        <v>1</v>
      </c>
      <c r="AG26" s="3">
        <v>1</v>
      </c>
      <c r="AH26" s="3">
        <v>1</v>
      </c>
      <c r="AI26" s="3">
        <v>1</v>
      </c>
      <c r="AJ26" s="3">
        <v>1</v>
      </c>
      <c r="AK26" s="3">
        <v>1</v>
      </c>
      <c r="AL26" s="3">
        <v>1</v>
      </c>
      <c r="AM26" s="3">
        <v>1</v>
      </c>
      <c r="AN26" s="3">
        <v>1</v>
      </c>
      <c r="AO26" s="3">
        <v>1</v>
      </c>
      <c r="AP26" s="3">
        <v>1</v>
      </c>
      <c r="AQ26" s="3">
        <v>1</v>
      </c>
      <c r="AR26" s="3">
        <v>1</v>
      </c>
      <c r="AS26" s="3">
        <v>1</v>
      </c>
      <c r="AT26" s="3">
        <v>1</v>
      </c>
      <c r="AU26" s="3">
        <v>1</v>
      </c>
      <c r="AV26" s="3">
        <v>1</v>
      </c>
      <c r="AW26" s="3">
        <v>1</v>
      </c>
      <c r="AX26" s="3">
        <v>1</v>
      </c>
      <c r="AY26" s="3">
        <v>1</v>
      </c>
      <c r="AZ26" s="3">
        <v>1</v>
      </c>
      <c r="BA26" s="3">
        <v>1</v>
      </c>
      <c r="BB26" s="3">
        <v>1</v>
      </c>
      <c r="BC26" s="3">
        <v>1</v>
      </c>
      <c r="BD26" s="3">
        <v>1</v>
      </c>
      <c r="BE26" s="3">
        <v>1</v>
      </c>
      <c r="BF26" s="3">
        <v>1</v>
      </c>
      <c r="BG26" s="3">
        <v>1</v>
      </c>
      <c r="BH26" s="3">
        <v>1</v>
      </c>
      <c r="BI26" s="3">
        <v>1</v>
      </c>
      <c r="BJ26" s="3">
        <v>1</v>
      </c>
      <c r="BK26" s="3">
        <v>1</v>
      </c>
      <c r="BL26" s="3">
        <v>1</v>
      </c>
      <c r="BM26" s="3">
        <v>1</v>
      </c>
      <c r="BN26" s="3">
        <v>1</v>
      </c>
      <c r="BO26" s="3">
        <v>1</v>
      </c>
      <c r="BP26" s="3">
        <v>1</v>
      </c>
      <c r="BQ26" s="3">
        <v>1</v>
      </c>
      <c r="BR26" s="3">
        <v>1</v>
      </c>
      <c r="BS26" s="3">
        <v>1</v>
      </c>
      <c r="BT26" s="3">
        <v>1</v>
      </c>
      <c r="BU26" s="3">
        <v>1</v>
      </c>
      <c r="BV26" s="3">
        <v>1</v>
      </c>
      <c r="BW26" s="3">
        <v>1</v>
      </c>
      <c r="BX26" s="3">
        <v>1</v>
      </c>
      <c r="BY26" s="3">
        <v>1</v>
      </c>
      <c r="BZ26" s="3">
        <v>1</v>
      </c>
      <c r="CA26" s="3">
        <v>1</v>
      </c>
      <c r="CB26" s="3">
        <v>1</v>
      </c>
      <c r="CC26" s="3">
        <v>1</v>
      </c>
      <c r="CD26" s="3">
        <v>1</v>
      </c>
      <c r="CE26" s="3">
        <v>1</v>
      </c>
      <c r="CF26" s="3">
        <v>1</v>
      </c>
      <c r="CG26" s="3">
        <v>1</v>
      </c>
      <c r="CH26" s="3">
        <v>1</v>
      </c>
      <c r="CI26" s="3">
        <v>1</v>
      </c>
      <c r="CJ26" s="3">
        <v>1</v>
      </c>
      <c r="CK26" s="3">
        <v>1</v>
      </c>
      <c r="CL26" s="3">
        <v>1</v>
      </c>
      <c r="CM26" s="3">
        <v>1</v>
      </c>
      <c r="CN26" s="3">
        <v>1</v>
      </c>
      <c r="CO26" s="3">
        <v>1</v>
      </c>
      <c r="CP26" s="3">
        <v>1</v>
      </c>
      <c r="CQ26" s="3">
        <v>1</v>
      </c>
      <c r="CR26" s="3">
        <v>1</v>
      </c>
      <c r="CS26" s="3">
        <v>1</v>
      </c>
      <c r="CT26" s="3">
        <v>1</v>
      </c>
      <c r="CU26" s="3">
        <v>1</v>
      </c>
      <c r="CV26" s="3">
        <v>1</v>
      </c>
      <c r="CW26" s="3">
        <v>1</v>
      </c>
      <c r="CX26" s="3">
        <v>1</v>
      </c>
      <c r="CY26" s="3">
        <v>1</v>
      </c>
      <c r="CZ26" s="3">
        <v>1</v>
      </c>
      <c r="DA26" s="3">
        <v>1</v>
      </c>
      <c r="DB26" s="3">
        <v>1</v>
      </c>
      <c r="DC26" s="3">
        <v>1</v>
      </c>
      <c r="DD26" s="3">
        <v>1</v>
      </c>
      <c r="DE26" s="3">
        <v>1</v>
      </c>
      <c r="DF26" s="3">
        <v>1</v>
      </c>
      <c r="DG26" s="3">
        <v>1</v>
      </c>
      <c r="DH26" s="3">
        <v>1</v>
      </c>
      <c r="DI26" s="3">
        <v>1</v>
      </c>
      <c r="DJ26" s="3">
        <v>1</v>
      </c>
      <c r="DK26" s="3">
        <v>1</v>
      </c>
      <c r="DL26" s="3">
        <v>1</v>
      </c>
      <c r="DM26" s="3">
        <v>1</v>
      </c>
      <c r="DN26" s="3">
        <v>1</v>
      </c>
      <c r="DO26" s="3">
        <v>1</v>
      </c>
      <c r="DP26" s="3">
        <v>1</v>
      </c>
      <c r="DQ26" s="3">
        <v>1</v>
      </c>
      <c r="DR26" s="3">
        <v>1</v>
      </c>
      <c r="DS26" s="3">
        <v>1</v>
      </c>
      <c r="DT26" s="3">
        <v>1</v>
      </c>
      <c r="DU26" s="3">
        <v>1</v>
      </c>
      <c r="DV26" s="3">
        <v>1</v>
      </c>
      <c r="DW26" s="3">
        <v>1</v>
      </c>
      <c r="DX26" s="3">
        <v>1</v>
      </c>
      <c r="DY26" s="3">
        <v>1</v>
      </c>
      <c r="DZ26" s="3">
        <v>1</v>
      </c>
      <c r="EA26" s="3">
        <v>1</v>
      </c>
      <c r="EB26" s="3">
        <v>1</v>
      </c>
      <c r="EC26" s="3">
        <v>1</v>
      </c>
      <c r="ED26" s="3">
        <v>1</v>
      </c>
      <c r="EE26" s="3">
        <v>1</v>
      </c>
      <c r="EF26" s="3">
        <v>1</v>
      </c>
      <c r="EG26" s="3">
        <v>1</v>
      </c>
      <c r="EH26" s="3">
        <v>1</v>
      </c>
      <c r="EI26" s="3">
        <v>1</v>
      </c>
      <c r="EJ26" s="3">
        <v>1</v>
      </c>
      <c r="EK26" s="3">
        <v>1</v>
      </c>
      <c r="EL26" s="3">
        <v>1</v>
      </c>
      <c r="EM26" s="3">
        <v>1</v>
      </c>
      <c r="EN26" s="3">
        <v>1</v>
      </c>
      <c r="EO26" s="3">
        <v>1</v>
      </c>
      <c r="EP26" s="9">
        <v>1</v>
      </c>
    </row>
    <row r="27" spans="1:146" x14ac:dyDescent="0.3">
      <c r="A27" s="8" t="s">
        <v>102</v>
      </c>
      <c r="B27" s="3" t="s">
        <v>103</v>
      </c>
      <c r="C27" s="3">
        <v>1</v>
      </c>
      <c r="D27" s="3">
        <v>1</v>
      </c>
      <c r="E27" s="3">
        <v>1</v>
      </c>
      <c r="F27" s="3">
        <v>1</v>
      </c>
      <c r="G27" s="3">
        <v>1</v>
      </c>
      <c r="H27" s="3">
        <v>1</v>
      </c>
      <c r="I27" s="3">
        <v>1</v>
      </c>
      <c r="J27" s="3">
        <v>1</v>
      </c>
      <c r="K27" s="3">
        <v>1</v>
      </c>
      <c r="L27" s="3">
        <v>1</v>
      </c>
      <c r="M27" s="3">
        <v>1</v>
      </c>
      <c r="N27" s="3">
        <v>1</v>
      </c>
      <c r="O27" s="3">
        <v>1</v>
      </c>
      <c r="P27" s="3">
        <v>1</v>
      </c>
      <c r="Q27" s="3">
        <v>1</v>
      </c>
      <c r="R27" s="3">
        <v>1</v>
      </c>
      <c r="S27" s="3">
        <v>1</v>
      </c>
      <c r="T27" s="3">
        <v>1</v>
      </c>
      <c r="U27" s="3">
        <v>1</v>
      </c>
      <c r="V27" s="3">
        <v>1</v>
      </c>
      <c r="W27" s="3">
        <v>1</v>
      </c>
      <c r="X27" s="3">
        <v>1</v>
      </c>
      <c r="Y27" s="3">
        <v>1</v>
      </c>
      <c r="Z27" s="3">
        <v>1</v>
      </c>
      <c r="AA27" s="3">
        <v>1</v>
      </c>
      <c r="AB27" s="3">
        <v>1</v>
      </c>
      <c r="AC27" s="3">
        <v>1</v>
      </c>
      <c r="AD27" s="3">
        <v>1</v>
      </c>
      <c r="AE27" s="3">
        <v>1</v>
      </c>
      <c r="AF27" s="3">
        <v>1</v>
      </c>
      <c r="AG27" s="3">
        <v>1</v>
      </c>
      <c r="AH27" s="3">
        <v>1</v>
      </c>
      <c r="AI27" s="3">
        <v>1</v>
      </c>
      <c r="AJ27" s="3">
        <v>1</v>
      </c>
      <c r="AK27" s="3">
        <v>1</v>
      </c>
      <c r="AL27" s="3">
        <v>1</v>
      </c>
      <c r="AM27" s="3">
        <v>1</v>
      </c>
      <c r="AN27" s="3">
        <v>1</v>
      </c>
      <c r="AO27" s="3">
        <v>1</v>
      </c>
      <c r="AP27" s="3">
        <v>1</v>
      </c>
      <c r="AQ27" s="3">
        <v>1</v>
      </c>
      <c r="AR27" s="3">
        <v>1</v>
      </c>
      <c r="AS27" s="3">
        <v>1</v>
      </c>
      <c r="AT27" s="3">
        <v>1</v>
      </c>
      <c r="AU27" s="3">
        <v>1</v>
      </c>
      <c r="AV27" s="3">
        <v>1</v>
      </c>
      <c r="AW27" s="3">
        <v>1</v>
      </c>
      <c r="AX27" s="3">
        <v>1</v>
      </c>
      <c r="AY27" s="3">
        <v>1</v>
      </c>
      <c r="AZ27" s="3">
        <v>1</v>
      </c>
      <c r="BA27" s="3">
        <v>1</v>
      </c>
      <c r="BB27" s="3">
        <v>1</v>
      </c>
      <c r="BC27" s="3">
        <v>1</v>
      </c>
      <c r="BD27" s="3">
        <v>1</v>
      </c>
      <c r="BE27" s="3">
        <v>1</v>
      </c>
      <c r="BF27" s="3">
        <v>1</v>
      </c>
      <c r="BG27" s="3">
        <v>1</v>
      </c>
      <c r="BH27" s="3">
        <v>1</v>
      </c>
      <c r="BI27" s="3">
        <v>1</v>
      </c>
      <c r="BJ27" s="3">
        <v>1</v>
      </c>
      <c r="BK27" s="3">
        <v>1</v>
      </c>
      <c r="BL27" s="3">
        <v>1</v>
      </c>
      <c r="BM27" s="3">
        <v>1</v>
      </c>
      <c r="BN27" s="3">
        <v>1</v>
      </c>
      <c r="BO27" s="3">
        <v>1</v>
      </c>
      <c r="BP27" s="3">
        <v>1</v>
      </c>
      <c r="BQ27" s="3">
        <v>1</v>
      </c>
      <c r="BR27" s="3">
        <v>1</v>
      </c>
      <c r="BS27" s="3">
        <v>1</v>
      </c>
      <c r="BT27" s="3">
        <v>1</v>
      </c>
      <c r="BU27" s="3">
        <v>1</v>
      </c>
      <c r="BV27" s="3">
        <v>1</v>
      </c>
      <c r="BW27" s="3">
        <v>1</v>
      </c>
      <c r="BX27" s="3">
        <v>1</v>
      </c>
      <c r="BY27" s="3">
        <v>1</v>
      </c>
      <c r="BZ27" s="3">
        <v>1</v>
      </c>
      <c r="CA27" s="3">
        <v>1</v>
      </c>
      <c r="CB27" s="3">
        <v>1</v>
      </c>
      <c r="CC27" s="3">
        <v>1</v>
      </c>
      <c r="CD27" s="3">
        <v>1</v>
      </c>
      <c r="CE27" s="3">
        <v>1</v>
      </c>
      <c r="CF27" s="3">
        <v>1</v>
      </c>
      <c r="CG27" s="3">
        <v>1</v>
      </c>
      <c r="CH27" s="3">
        <v>1</v>
      </c>
      <c r="CI27" s="3">
        <v>1</v>
      </c>
      <c r="CJ27" s="3">
        <v>1</v>
      </c>
      <c r="CK27" s="3">
        <v>1</v>
      </c>
      <c r="CL27" s="3">
        <v>1</v>
      </c>
      <c r="CM27" s="3">
        <v>1</v>
      </c>
      <c r="CN27" s="3">
        <v>1</v>
      </c>
      <c r="CO27" s="3">
        <v>1</v>
      </c>
      <c r="CP27" s="3">
        <v>1</v>
      </c>
      <c r="CQ27" s="3">
        <v>1</v>
      </c>
      <c r="CR27" s="3">
        <v>1</v>
      </c>
      <c r="CS27" s="3">
        <v>1</v>
      </c>
      <c r="CT27" s="3">
        <v>1</v>
      </c>
      <c r="CU27" s="3">
        <v>1</v>
      </c>
      <c r="CV27" s="3">
        <v>1</v>
      </c>
      <c r="CW27" s="3">
        <v>1</v>
      </c>
      <c r="CX27" s="3">
        <v>1</v>
      </c>
      <c r="CY27" s="3">
        <v>1</v>
      </c>
      <c r="CZ27" s="3">
        <v>1</v>
      </c>
      <c r="DA27" s="3">
        <v>1</v>
      </c>
      <c r="DB27" s="3">
        <v>1</v>
      </c>
      <c r="DC27" s="3">
        <v>1</v>
      </c>
      <c r="DD27" s="3">
        <v>1</v>
      </c>
      <c r="DE27" s="3">
        <v>1</v>
      </c>
      <c r="DF27" s="3">
        <v>1</v>
      </c>
      <c r="DG27" s="3">
        <v>1</v>
      </c>
      <c r="DH27" s="3">
        <v>1</v>
      </c>
      <c r="DI27" s="3">
        <v>1</v>
      </c>
      <c r="DJ27" s="3">
        <v>1</v>
      </c>
      <c r="DK27" s="3">
        <v>1</v>
      </c>
      <c r="DL27" s="3">
        <v>1</v>
      </c>
      <c r="DM27" s="3">
        <v>1</v>
      </c>
      <c r="DN27" s="3">
        <v>1</v>
      </c>
      <c r="DO27" s="3">
        <v>1</v>
      </c>
      <c r="DP27" s="3">
        <v>1</v>
      </c>
      <c r="DQ27" s="3">
        <v>1</v>
      </c>
      <c r="DR27" s="3">
        <v>1</v>
      </c>
      <c r="DS27" s="3">
        <v>1</v>
      </c>
      <c r="DT27" s="3">
        <v>1</v>
      </c>
      <c r="DU27" s="3">
        <v>1</v>
      </c>
      <c r="DV27" s="3">
        <v>1</v>
      </c>
      <c r="DW27" s="3">
        <v>1</v>
      </c>
      <c r="DX27" s="3">
        <v>1</v>
      </c>
      <c r="DY27" s="3">
        <v>1</v>
      </c>
      <c r="DZ27" s="3">
        <v>1</v>
      </c>
      <c r="EA27" s="3">
        <v>1</v>
      </c>
      <c r="EB27" s="3">
        <v>1</v>
      </c>
      <c r="EC27" s="3">
        <v>1</v>
      </c>
      <c r="ED27" s="3">
        <v>1</v>
      </c>
      <c r="EE27" s="3">
        <v>1</v>
      </c>
      <c r="EF27" s="3">
        <v>1</v>
      </c>
      <c r="EG27" s="3">
        <v>1</v>
      </c>
      <c r="EH27" s="3">
        <v>1</v>
      </c>
      <c r="EI27" s="3">
        <v>1</v>
      </c>
      <c r="EJ27" s="3">
        <v>1</v>
      </c>
      <c r="EK27" s="3">
        <v>1</v>
      </c>
      <c r="EL27" s="3">
        <v>1</v>
      </c>
      <c r="EM27" s="3">
        <v>1</v>
      </c>
      <c r="EN27" s="3">
        <v>1</v>
      </c>
      <c r="EO27" s="3">
        <v>1</v>
      </c>
      <c r="EP27" s="9">
        <v>1</v>
      </c>
    </row>
    <row r="28" spans="1:146" x14ac:dyDescent="0.3">
      <c r="A28" s="8" t="s">
        <v>104</v>
      </c>
      <c r="B28" s="3" t="s">
        <v>105</v>
      </c>
      <c r="C28" s="3">
        <v>1</v>
      </c>
      <c r="D28" s="3">
        <v>1</v>
      </c>
      <c r="E28" s="3">
        <v>1</v>
      </c>
      <c r="F28" s="3">
        <v>1</v>
      </c>
      <c r="G28" s="3">
        <v>1</v>
      </c>
      <c r="H28" s="3">
        <v>1</v>
      </c>
      <c r="I28" s="3">
        <v>1</v>
      </c>
      <c r="J28" s="3">
        <v>1</v>
      </c>
      <c r="K28" s="3">
        <v>1</v>
      </c>
      <c r="L28" s="3">
        <v>1</v>
      </c>
      <c r="M28" s="3">
        <v>1</v>
      </c>
      <c r="N28" s="3">
        <v>1</v>
      </c>
      <c r="O28" s="3">
        <v>1</v>
      </c>
      <c r="P28" s="3">
        <v>1</v>
      </c>
      <c r="Q28" s="3">
        <v>1</v>
      </c>
      <c r="R28" s="3">
        <v>1</v>
      </c>
      <c r="S28" s="3">
        <v>1</v>
      </c>
      <c r="T28" s="3">
        <v>1</v>
      </c>
      <c r="U28" s="3">
        <v>1</v>
      </c>
      <c r="V28" s="3">
        <v>1</v>
      </c>
      <c r="W28" s="3">
        <v>1</v>
      </c>
      <c r="X28" s="3">
        <v>1</v>
      </c>
      <c r="Y28" s="3">
        <v>1</v>
      </c>
      <c r="Z28" s="3">
        <v>1</v>
      </c>
      <c r="AA28" s="3">
        <v>1</v>
      </c>
      <c r="AB28" s="3">
        <v>1</v>
      </c>
      <c r="AC28" s="3">
        <v>1</v>
      </c>
      <c r="AD28" s="3">
        <v>1</v>
      </c>
      <c r="AE28" s="3">
        <v>1</v>
      </c>
      <c r="AF28" s="3">
        <v>1</v>
      </c>
      <c r="AG28" s="3">
        <v>1</v>
      </c>
      <c r="AH28" s="3">
        <v>1</v>
      </c>
      <c r="AI28" s="3">
        <v>1</v>
      </c>
      <c r="AJ28" s="3">
        <v>1</v>
      </c>
      <c r="AK28" s="3">
        <v>1</v>
      </c>
      <c r="AL28" s="3">
        <v>1</v>
      </c>
      <c r="AM28" s="3">
        <v>1</v>
      </c>
      <c r="AN28" s="3">
        <v>1</v>
      </c>
      <c r="AO28" s="3">
        <v>1</v>
      </c>
      <c r="AP28" s="3">
        <v>1</v>
      </c>
      <c r="AQ28" s="3">
        <v>1</v>
      </c>
      <c r="AR28" s="3">
        <v>1</v>
      </c>
      <c r="AS28" s="3">
        <v>1</v>
      </c>
      <c r="AT28" s="3">
        <v>1</v>
      </c>
      <c r="AU28" s="3">
        <v>1</v>
      </c>
      <c r="AV28" s="3">
        <v>1</v>
      </c>
      <c r="AW28" s="3">
        <v>1</v>
      </c>
      <c r="AX28" s="3">
        <v>1</v>
      </c>
      <c r="AY28" s="3">
        <v>1</v>
      </c>
      <c r="AZ28" s="3">
        <v>1</v>
      </c>
      <c r="BA28" s="3">
        <v>1</v>
      </c>
      <c r="BB28" s="3">
        <v>1</v>
      </c>
      <c r="BC28" s="3">
        <v>1</v>
      </c>
      <c r="BD28" s="3">
        <v>1</v>
      </c>
      <c r="BE28" s="3">
        <v>1</v>
      </c>
      <c r="BF28" s="3">
        <v>1</v>
      </c>
      <c r="BG28" s="3">
        <v>1</v>
      </c>
      <c r="BH28" s="3">
        <v>1</v>
      </c>
      <c r="BI28" s="3">
        <v>1</v>
      </c>
      <c r="BJ28" s="3">
        <v>1</v>
      </c>
      <c r="BK28" s="3">
        <v>1</v>
      </c>
      <c r="BL28" s="3">
        <v>1</v>
      </c>
      <c r="BM28" s="3">
        <v>1</v>
      </c>
      <c r="BN28" s="3">
        <v>1</v>
      </c>
      <c r="BO28" s="3">
        <v>1</v>
      </c>
      <c r="BP28" s="3">
        <v>1</v>
      </c>
      <c r="BQ28" s="3">
        <v>1</v>
      </c>
      <c r="BR28" s="3">
        <v>1</v>
      </c>
      <c r="BS28" s="3">
        <v>1</v>
      </c>
      <c r="BT28" s="3">
        <v>1</v>
      </c>
      <c r="BU28" s="3">
        <v>1</v>
      </c>
      <c r="BV28" s="3">
        <v>1</v>
      </c>
      <c r="BW28" s="3">
        <v>1</v>
      </c>
      <c r="BX28" s="3">
        <v>1</v>
      </c>
      <c r="BY28" s="3">
        <v>1</v>
      </c>
      <c r="BZ28" s="3">
        <v>1</v>
      </c>
      <c r="CA28" s="3">
        <v>1</v>
      </c>
      <c r="CB28" s="3">
        <v>1</v>
      </c>
      <c r="CC28" s="3">
        <v>1</v>
      </c>
      <c r="CD28" s="3">
        <v>1</v>
      </c>
      <c r="CE28" s="3">
        <v>1</v>
      </c>
      <c r="CF28" s="3">
        <v>1</v>
      </c>
      <c r="CG28" s="3">
        <v>1</v>
      </c>
      <c r="CH28" s="3">
        <v>1</v>
      </c>
      <c r="CI28" s="3">
        <v>1</v>
      </c>
      <c r="CJ28" s="3">
        <v>1</v>
      </c>
      <c r="CK28" s="3">
        <v>1</v>
      </c>
      <c r="CL28" s="3">
        <v>1</v>
      </c>
      <c r="CM28" s="3">
        <v>1</v>
      </c>
      <c r="CN28" s="3">
        <v>1</v>
      </c>
      <c r="CO28" s="3">
        <v>1</v>
      </c>
      <c r="CP28" s="3">
        <v>1</v>
      </c>
      <c r="CQ28" s="3">
        <v>1</v>
      </c>
      <c r="CR28" s="3">
        <v>1</v>
      </c>
      <c r="CS28" s="3">
        <v>1</v>
      </c>
      <c r="CT28" s="3">
        <v>1</v>
      </c>
      <c r="CU28" s="3">
        <v>1</v>
      </c>
      <c r="CV28" s="3">
        <v>1</v>
      </c>
      <c r="CW28" s="3">
        <v>1</v>
      </c>
      <c r="CX28" s="3">
        <v>1</v>
      </c>
      <c r="CY28" s="3">
        <v>1</v>
      </c>
      <c r="CZ28" s="3">
        <v>1</v>
      </c>
      <c r="DA28" s="3">
        <v>1</v>
      </c>
      <c r="DB28" s="3">
        <v>1</v>
      </c>
      <c r="DC28" s="3">
        <v>1</v>
      </c>
      <c r="DD28" s="3">
        <v>1</v>
      </c>
      <c r="DE28" s="3">
        <v>1</v>
      </c>
      <c r="DF28" s="3">
        <v>1</v>
      </c>
      <c r="DG28" s="3">
        <v>1</v>
      </c>
      <c r="DH28" s="3">
        <v>1</v>
      </c>
      <c r="DI28" s="3">
        <v>1</v>
      </c>
      <c r="DJ28" s="3">
        <v>1</v>
      </c>
      <c r="DK28" s="3">
        <v>1</v>
      </c>
      <c r="DL28" s="3">
        <v>1</v>
      </c>
      <c r="DM28" s="3">
        <v>1</v>
      </c>
      <c r="DN28" s="3">
        <v>1</v>
      </c>
      <c r="DO28" s="3">
        <v>1</v>
      </c>
      <c r="DP28" s="3">
        <v>1</v>
      </c>
      <c r="DQ28" s="3">
        <v>1</v>
      </c>
      <c r="DR28" s="3">
        <v>1</v>
      </c>
      <c r="DS28" s="3">
        <v>1</v>
      </c>
      <c r="DT28" s="3">
        <v>1</v>
      </c>
      <c r="DU28" s="3">
        <v>1</v>
      </c>
      <c r="DV28" s="3">
        <v>1</v>
      </c>
      <c r="DW28" s="3">
        <v>1</v>
      </c>
      <c r="DX28" s="3">
        <v>1</v>
      </c>
      <c r="DY28" s="3">
        <v>1</v>
      </c>
      <c r="DZ28" s="3">
        <v>1</v>
      </c>
      <c r="EA28" s="3">
        <v>1</v>
      </c>
      <c r="EB28" s="3">
        <v>1</v>
      </c>
      <c r="EC28" s="3">
        <v>1</v>
      </c>
      <c r="ED28" s="3">
        <v>1</v>
      </c>
      <c r="EE28" s="3">
        <v>1</v>
      </c>
      <c r="EF28" s="3">
        <v>1</v>
      </c>
      <c r="EG28" s="3">
        <v>1</v>
      </c>
      <c r="EH28" s="3">
        <v>1</v>
      </c>
      <c r="EI28" s="3">
        <v>1</v>
      </c>
      <c r="EJ28" s="3">
        <v>1</v>
      </c>
      <c r="EK28" s="3">
        <v>1</v>
      </c>
      <c r="EL28" s="3">
        <v>1</v>
      </c>
      <c r="EM28" s="3">
        <v>1</v>
      </c>
      <c r="EN28" s="3">
        <v>1</v>
      </c>
      <c r="EO28" s="3">
        <v>1</v>
      </c>
      <c r="EP28" s="9">
        <v>1</v>
      </c>
    </row>
    <row r="29" spans="1:146" x14ac:dyDescent="0.3">
      <c r="A29" s="8" t="s">
        <v>108</v>
      </c>
      <c r="B29" s="3" t="s">
        <v>109</v>
      </c>
      <c r="C29" s="3">
        <v>1</v>
      </c>
      <c r="D29" s="3">
        <v>1</v>
      </c>
      <c r="E29" s="3">
        <v>1</v>
      </c>
      <c r="F29" s="3">
        <v>1</v>
      </c>
      <c r="G29" s="3">
        <v>1</v>
      </c>
      <c r="H29" s="3">
        <v>1</v>
      </c>
      <c r="I29" s="3">
        <v>1</v>
      </c>
      <c r="J29" s="3">
        <v>1</v>
      </c>
      <c r="K29" s="3">
        <v>1</v>
      </c>
      <c r="L29" s="3">
        <v>1</v>
      </c>
      <c r="M29" s="3">
        <v>1</v>
      </c>
      <c r="N29" s="3">
        <v>1</v>
      </c>
      <c r="O29" s="3">
        <v>1</v>
      </c>
      <c r="P29" s="3">
        <v>1</v>
      </c>
      <c r="Q29" s="3">
        <v>1</v>
      </c>
      <c r="R29" s="3">
        <v>1</v>
      </c>
      <c r="S29" s="3">
        <v>1</v>
      </c>
      <c r="T29" s="3">
        <v>1</v>
      </c>
      <c r="U29" s="3">
        <v>1</v>
      </c>
      <c r="V29" s="3">
        <v>1</v>
      </c>
      <c r="W29" s="3">
        <v>1</v>
      </c>
      <c r="X29" s="3">
        <v>1</v>
      </c>
      <c r="Y29" s="3">
        <v>1</v>
      </c>
      <c r="Z29" s="3">
        <v>1</v>
      </c>
      <c r="AA29" s="3">
        <v>1</v>
      </c>
      <c r="AB29" s="3">
        <v>1</v>
      </c>
      <c r="AC29" s="3">
        <v>1</v>
      </c>
      <c r="AD29" s="3">
        <v>1</v>
      </c>
      <c r="AE29" s="3">
        <v>1</v>
      </c>
      <c r="AF29" s="3">
        <v>1</v>
      </c>
      <c r="AG29" s="3">
        <v>1</v>
      </c>
      <c r="AH29" s="3">
        <v>1</v>
      </c>
      <c r="AI29" s="3">
        <v>1</v>
      </c>
      <c r="AJ29" s="3">
        <v>1</v>
      </c>
      <c r="AK29" s="3">
        <v>1</v>
      </c>
      <c r="AL29" s="3">
        <v>1</v>
      </c>
      <c r="AM29" s="3">
        <v>1</v>
      </c>
      <c r="AN29" s="3">
        <v>1</v>
      </c>
      <c r="AO29" s="3">
        <v>1</v>
      </c>
      <c r="AP29" s="3">
        <v>1</v>
      </c>
      <c r="AQ29" s="3">
        <v>1</v>
      </c>
      <c r="AR29" s="3">
        <v>1</v>
      </c>
      <c r="AS29" s="3">
        <v>1</v>
      </c>
      <c r="AT29" s="3">
        <v>1</v>
      </c>
      <c r="AU29" s="3">
        <v>1</v>
      </c>
      <c r="AV29" s="3">
        <v>1</v>
      </c>
      <c r="AW29" s="3">
        <v>1</v>
      </c>
      <c r="AX29" s="3">
        <v>1</v>
      </c>
      <c r="AY29" s="3">
        <v>1</v>
      </c>
      <c r="AZ29" s="3">
        <v>1</v>
      </c>
      <c r="BA29" s="3">
        <v>1</v>
      </c>
      <c r="BB29" s="3">
        <v>1</v>
      </c>
      <c r="BC29" s="3">
        <v>1</v>
      </c>
      <c r="BD29" s="3">
        <v>1</v>
      </c>
      <c r="BE29" s="3">
        <v>1</v>
      </c>
      <c r="BF29" s="3">
        <v>1</v>
      </c>
      <c r="BG29" s="3">
        <v>1</v>
      </c>
      <c r="BH29" s="3">
        <v>1</v>
      </c>
      <c r="BI29" s="3">
        <v>1</v>
      </c>
      <c r="BJ29" s="3">
        <v>1</v>
      </c>
      <c r="BK29" s="3">
        <v>1</v>
      </c>
      <c r="BL29" s="3">
        <v>1</v>
      </c>
      <c r="BM29" s="3">
        <v>1</v>
      </c>
      <c r="BN29" s="3">
        <v>1</v>
      </c>
      <c r="BO29" s="3">
        <v>1</v>
      </c>
      <c r="BP29" s="3">
        <v>1</v>
      </c>
      <c r="BQ29" s="3">
        <v>1</v>
      </c>
      <c r="BR29" s="3">
        <v>1</v>
      </c>
      <c r="BS29" s="3">
        <v>1</v>
      </c>
      <c r="BT29" s="3">
        <v>1</v>
      </c>
      <c r="BU29" s="3">
        <v>1</v>
      </c>
      <c r="BV29" s="3">
        <v>1</v>
      </c>
      <c r="BW29" s="3">
        <v>1</v>
      </c>
      <c r="BX29" s="3">
        <v>1</v>
      </c>
      <c r="BY29" s="3">
        <v>1</v>
      </c>
      <c r="BZ29" s="3">
        <v>1</v>
      </c>
      <c r="CA29" s="3">
        <v>1</v>
      </c>
      <c r="CB29" s="3">
        <v>1</v>
      </c>
      <c r="CC29" s="3">
        <v>1</v>
      </c>
      <c r="CD29" s="3">
        <v>1</v>
      </c>
      <c r="CE29" s="3">
        <v>1</v>
      </c>
      <c r="CF29" s="3">
        <v>1</v>
      </c>
      <c r="CG29" s="3">
        <v>1</v>
      </c>
      <c r="CH29" s="3">
        <v>1</v>
      </c>
      <c r="CI29" s="3">
        <v>1</v>
      </c>
      <c r="CJ29" s="3">
        <v>1</v>
      </c>
      <c r="CK29" s="3">
        <v>1</v>
      </c>
      <c r="CL29" s="3">
        <v>1</v>
      </c>
      <c r="CM29" s="3">
        <v>1</v>
      </c>
      <c r="CN29" s="3">
        <v>1</v>
      </c>
      <c r="CO29" s="3">
        <v>1</v>
      </c>
      <c r="CP29" s="3">
        <v>1</v>
      </c>
      <c r="CQ29" s="3">
        <v>1</v>
      </c>
      <c r="CR29" s="3">
        <v>1</v>
      </c>
      <c r="CS29" s="3">
        <v>1</v>
      </c>
      <c r="CT29" s="3">
        <v>1</v>
      </c>
      <c r="CU29" s="3">
        <v>1</v>
      </c>
      <c r="CV29" s="3">
        <v>1</v>
      </c>
      <c r="CW29" s="3">
        <v>1</v>
      </c>
      <c r="CX29" s="3">
        <v>1</v>
      </c>
      <c r="CY29" s="3">
        <v>1</v>
      </c>
      <c r="CZ29" s="3">
        <v>1</v>
      </c>
      <c r="DA29" s="3">
        <v>1</v>
      </c>
      <c r="DB29" s="3">
        <v>1</v>
      </c>
      <c r="DC29" s="3">
        <v>1</v>
      </c>
      <c r="DD29" s="3">
        <v>1</v>
      </c>
      <c r="DE29" s="3">
        <v>1</v>
      </c>
      <c r="DF29" s="3">
        <v>1</v>
      </c>
      <c r="DG29" s="3">
        <v>1</v>
      </c>
      <c r="DH29" s="3">
        <v>1</v>
      </c>
      <c r="DI29" s="3">
        <v>1</v>
      </c>
      <c r="DJ29" s="3">
        <v>1</v>
      </c>
      <c r="DK29" s="3">
        <v>1</v>
      </c>
      <c r="DL29" s="3">
        <v>1</v>
      </c>
      <c r="DM29" s="3">
        <v>1</v>
      </c>
      <c r="DN29" s="3">
        <v>1</v>
      </c>
      <c r="DO29" s="3">
        <v>1</v>
      </c>
      <c r="DP29" s="3">
        <v>1</v>
      </c>
      <c r="DQ29" s="3">
        <v>1</v>
      </c>
      <c r="DR29" s="3">
        <v>1</v>
      </c>
      <c r="DS29" s="3">
        <v>1</v>
      </c>
      <c r="DT29" s="3">
        <v>1</v>
      </c>
      <c r="DU29" s="3">
        <v>1</v>
      </c>
      <c r="DV29" s="3">
        <v>1</v>
      </c>
      <c r="DW29" s="3">
        <v>1</v>
      </c>
      <c r="DX29" s="3">
        <v>1</v>
      </c>
      <c r="DY29" s="3">
        <v>1</v>
      </c>
      <c r="DZ29" s="3">
        <v>1</v>
      </c>
      <c r="EA29" s="3">
        <v>1</v>
      </c>
      <c r="EB29" s="3">
        <v>1</v>
      </c>
      <c r="EC29" s="3">
        <v>1</v>
      </c>
      <c r="ED29" s="3">
        <v>1</v>
      </c>
      <c r="EE29" s="3">
        <v>1</v>
      </c>
      <c r="EF29" s="3">
        <v>1</v>
      </c>
      <c r="EG29" s="3">
        <v>1</v>
      </c>
      <c r="EH29" s="3">
        <v>1</v>
      </c>
      <c r="EI29" s="3">
        <v>1</v>
      </c>
      <c r="EJ29" s="3">
        <v>1</v>
      </c>
      <c r="EK29" s="3">
        <v>1</v>
      </c>
      <c r="EL29" s="3">
        <v>1</v>
      </c>
      <c r="EM29" s="3">
        <v>1</v>
      </c>
      <c r="EN29" s="3">
        <v>1</v>
      </c>
      <c r="EO29" s="3">
        <v>1</v>
      </c>
      <c r="EP29" s="9">
        <v>1</v>
      </c>
    </row>
    <row r="30" spans="1:146" x14ac:dyDescent="0.3">
      <c r="A30" s="8" t="s">
        <v>110</v>
      </c>
      <c r="B30" s="3" t="s">
        <v>111</v>
      </c>
      <c r="C30" s="3">
        <v>1</v>
      </c>
      <c r="D30" s="3">
        <v>1</v>
      </c>
      <c r="E30" s="3">
        <v>1</v>
      </c>
      <c r="F30" s="3">
        <v>1</v>
      </c>
      <c r="G30" s="3">
        <v>1</v>
      </c>
      <c r="H30" s="3">
        <v>1</v>
      </c>
      <c r="I30" s="3">
        <v>1</v>
      </c>
      <c r="J30" s="3">
        <v>1</v>
      </c>
      <c r="K30" s="3">
        <v>1</v>
      </c>
      <c r="L30" s="3">
        <v>1</v>
      </c>
      <c r="M30" s="3">
        <v>1</v>
      </c>
      <c r="N30" s="3">
        <v>1</v>
      </c>
      <c r="O30" s="3">
        <v>1</v>
      </c>
      <c r="P30" s="3">
        <v>1</v>
      </c>
      <c r="Q30" s="3">
        <v>1</v>
      </c>
      <c r="R30" s="3">
        <v>1</v>
      </c>
      <c r="S30" s="3">
        <v>1</v>
      </c>
      <c r="T30" s="3">
        <v>1</v>
      </c>
      <c r="U30" s="3">
        <v>1</v>
      </c>
      <c r="V30" s="3">
        <v>1</v>
      </c>
      <c r="W30" s="3">
        <v>1</v>
      </c>
      <c r="X30" s="3">
        <v>1</v>
      </c>
      <c r="Y30" s="3">
        <v>1</v>
      </c>
      <c r="Z30" s="3">
        <v>1</v>
      </c>
      <c r="AA30" s="3">
        <v>1</v>
      </c>
      <c r="AB30" s="3">
        <v>1</v>
      </c>
      <c r="AC30" s="3">
        <v>1</v>
      </c>
      <c r="AD30" s="3">
        <v>1</v>
      </c>
      <c r="AE30" s="3">
        <v>1</v>
      </c>
      <c r="AF30" s="3">
        <v>1</v>
      </c>
      <c r="AG30" s="3">
        <v>1</v>
      </c>
      <c r="AH30" s="3">
        <v>1</v>
      </c>
      <c r="AI30" s="3">
        <v>1</v>
      </c>
      <c r="AJ30" s="3">
        <v>1</v>
      </c>
      <c r="AK30" s="3">
        <v>1</v>
      </c>
      <c r="AL30" s="3">
        <v>1</v>
      </c>
      <c r="AM30" s="3">
        <v>1</v>
      </c>
      <c r="AN30" s="3">
        <v>1</v>
      </c>
      <c r="AO30" s="3">
        <v>1</v>
      </c>
      <c r="AP30" s="3">
        <v>1</v>
      </c>
      <c r="AQ30" s="3">
        <v>1</v>
      </c>
      <c r="AR30" s="3">
        <v>1</v>
      </c>
      <c r="AS30" s="3">
        <v>1</v>
      </c>
      <c r="AT30" s="3">
        <v>1</v>
      </c>
      <c r="AU30" s="3">
        <v>1</v>
      </c>
      <c r="AV30" s="3">
        <v>1</v>
      </c>
      <c r="AW30" s="3">
        <v>1</v>
      </c>
      <c r="AX30" s="3">
        <v>1</v>
      </c>
      <c r="AY30" s="3">
        <v>1</v>
      </c>
      <c r="AZ30" s="3">
        <v>1</v>
      </c>
      <c r="BA30" s="3">
        <v>1</v>
      </c>
      <c r="BB30" s="3">
        <v>1</v>
      </c>
      <c r="BC30" s="3">
        <v>1</v>
      </c>
      <c r="BD30" s="3">
        <v>1</v>
      </c>
      <c r="BE30" s="3">
        <v>1</v>
      </c>
      <c r="BF30" s="3">
        <v>1</v>
      </c>
      <c r="BG30" s="3">
        <v>1</v>
      </c>
      <c r="BH30" s="3">
        <v>1</v>
      </c>
      <c r="BI30" s="3">
        <v>1</v>
      </c>
      <c r="BJ30" s="3">
        <v>1</v>
      </c>
      <c r="BK30" s="3">
        <v>1</v>
      </c>
      <c r="BL30" s="3">
        <v>1</v>
      </c>
      <c r="BM30" s="3">
        <v>1</v>
      </c>
      <c r="BN30" s="3">
        <v>1</v>
      </c>
      <c r="BO30" s="3">
        <v>1</v>
      </c>
      <c r="BP30" s="3">
        <v>1</v>
      </c>
      <c r="BQ30" s="3">
        <v>1</v>
      </c>
      <c r="BR30" s="3">
        <v>1</v>
      </c>
      <c r="BS30" s="3">
        <v>1</v>
      </c>
      <c r="BT30" s="3">
        <v>1</v>
      </c>
      <c r="BU30" s="3">
        <v>1</v>
      </c>
      <c r="BV30" s="3">
        <v>1</v>
      </c>
      <c r="BW30" s="3">
        <v>1</v>
      </c>
      <c r="BX30" s="3">
        <v>1</v>
      </c>
      <c r="BY30" s="3">
        <v>1</v>
      </c>
      <c r="BZ30" s="3">
        <v>1</v>
      </c>
      <c r="CA30" s="3">
        <v>1</v>
      </c>
      <c r="CB30" s="3">
        <v>1</v>
      </c>
      <c r="CC30" s="3">
        <v>1</v>
      </c>
      <c r="CD30" s="3">
        <v>1</v>
      </c>
      <c r="CE30" s="3">
        <v>1</v>
      </c>
      <c r="CF30" s="3">
        <v>1</v>
      </c>
      <c r="CG30" s="3">
        <v>1</v>
      </c>
      <c r="CH30" s="3">
        <v>1</v>
      </c>
      <c r="CI30" s="3">
        <v>1</v>
      </c>
      <c r="CJ30" s="3">
        <v>1</v>
      </c>
      <c r="CK30" s="3">
        <v>1</v>
      </c>
      <c r="CL30" s="3">
        <v>1</v>
      </c>
      <c r="CM30" s="3">
        <v>1</v>
      </c>
      <c r="CN30" s="3">
        <v>1</v>
      </c>
      <c r="CO30" s="3">
        <v>1</v>
      </c>
      <c r="CP30" s="3">
        <v>1</v>
      </c>
      <c r="CQ30" s="3">
        <v>1</v>
      </c>
      <c r="CR30" s="3">
        <v>1</v>
      </c>
      <c r="CS30" s="3">
        <v>1</v>
      </c>
      <c r="CT30" s="3">
        <v>1</v>
      </c>
      <c r="CU30" s="3">
        <v>1</v>
      </c>
      <c r="CV30" s="3">
        <v>1</v>
      </c>
      <c r="CW30" s="3">
        <v>1</v>
      </c>
      <c r="CX30" s="3">
        <v>1</v>
      </c>
      <c r="CY30" s="3">
        <v>1</v>
      </c>
      <c r="CZ30" s="3">
        <v>1</v>
      </c>
      <c r="DA30" s="3">
        <v>1</v>
      </c>
      <c r="DB30" s="3">
        <v>1</v>
      </c>
      <c r="DC30" s="3">
        <v>1</v>
      </c>
      <c r="DD30" s="3">
        <v>1</v>
      </c>
      <c r="DE30" s="3">
        <v>1</v>
      </c>
      <c r="DF30" s="3">
        <v>1</v>
      </c>
      <c r="DG30" s="3">
        <v>1</v>
      </c>
      <c r="DH30" s="3">
        <v>1</v>
      </c>
      <c r="DI30" s="3">
        <v>1</v>
      </c>
      <c r="DJ30" s="3">
        <v>1</v>
      </c>
      <c r="DK30" s="3">
        <v>1</v>
      </c>
      <c r="DL30" s="3">
        <v>1</v>
      </c>
      <c r="DM30" s="3">
        <v>1</v>
      </c>
      <c r="DN30" s="3">
        <v>1</v>
      </c>
      <c r="DO30" s="3">
        <v>1</v>
      </c>
      <c r="DP30" s="3">
        <v>1</v>
      </c>
      <c r="DQ30" s="3">
        <v>1</v>
      </c>
      <c r="DR30" s="3">
        <v>1</v>
      </c>
      <c r="DS30" s="3">
        <v>1</v>
      </c>
      <c r="DT30" s="3">
        <v>1</v>
      </c>
      <c r="DU30" s="3">
        <v>1</v>
      </c>
      <c r="DV30" s="3">
        <v>1</v>
      </c>
      <c r="DW30" s="3">
        <v>1</v>
      </c>
      <c r="DX30" s="3">
        <v>1</v>
      </c>
      <c r="DY30" s="3">
        <v>1</v>
      </c>
      <c r="DZ30" s="3">
        <v>1</v>
      </c>
      <c r="EA30" s="3">
        <v>1</v>
      </c>
      <c r="EB30" s="3">
        <v>1</v>
      </c>
      <c r="EC30" s="3">
        <v>1</v>
      </c>
      <c r="ED30" s="3">
        <v>1</v>
      </c>
      <c r="EE30" s="3">
        <v>1</v>
      </c>
      <c r="EF30" s="3">
        <v>1</v>
      </c>
      <c r="EG30" s="3">
        <v>1</v>
      </c>
      <c r="EH30" s="3">
        <v>1</v>
      </c>
      <c r="EI30" s="3">
        <v>1</v>
      </c>
      <c r="EJ30" s="3">
        <v>1</v>
      </c>
      <c r="EK30" s="3">
        <v>1</v>
      </c>
      <c r="EL30" s="3">
        <v>1</v>
      </c>
      <c r="EM30" s="3">
        <v>1</v>
      </c>
      <c r="EN30" s="3">
        <v>1</v>
      </c>
      <c r="EO30" s="3">
        <v>1</v>
      </c>
      <c r="EP30" s="9">
        <v>1</v>
      </c>
    </row>
    <row r="31" spans="1:146" x14ac:dyDescent="0.3">
      <c r="A31" s="13" t="s">
        <v>114</v>
      </c>
      <c r="B31" s="6" t="s">
        <v>115</v>
      </c>
      <c r="C31" s="6">
        <v>1</v>
      </c>
      <c r="D31" s="6">
        <v>1</v>
      </c>
      <c r="E31" s="6">
        <v>1</v>
      </c>
      <c r="F31" s="6">
        <v>1</v>
      </c>
      <c r="G31" s="6">
        <v>1</v>
      </c>
      <c r="H31" s="6">
        <v>1</v>
      </c>
      <c r="I31" s="6">
        <v>1</v>
      </c>
      <c r="J31" s="6">
        <v>1</v>
      </c>
      <c r="K31" s="6">
        <v>1</v>
      </c>
      <c r="L31" s="6">
        <v>1</v>
      </c>
      <c r="M31" s="6">
        <v>1</v>
      </c>
      <c r="N31" s="6">
        <v>1</v>
      </c>
      <c r="O31" s="6">
        <v>1</v>
      </c>
      <c r="P31" s="6">
        <v>1</v>
      </c>
      <c r="Q31" s="6">
        <v>1</v>
      </c>
      <c r="R31" s="6">
        <v>1</v>
      </c>
      <c r="S31" s="6">
        <v>1</v>
      </c>
      <c r="T31" s="6">
        <v>1</v>
      </c>
      <c r="U31" s="6">
        <v>1</v>
      </c>
      <c r="V31" s="6">
        <v>1</v>
      </c>
      <c r="W31" s="6">
        <v>1</v>
      </c>
      <c r="X31" s="6">
        <v>1</v>
      </c>
      <c r="Y31" s="6">
        <v>1</v>
      </c>
      <c r="Z31" s="6">
        <v>1</v>
      </c>
      <c r="AA31" s="6">
        <v>1</v>
      </c>
      <c r="AB31" s="6">
        <v>1</v>
      </c>
      <c r="AC31" s="6">
        <v>1</v>
      </c>
      <c r="AD31" s="6">
        <v>1</v>
      </c>
      <c r="AE31" s="6">
        <v>1</v>
      </c>
      <c r="AF31" s="6">
        <v>1</v>
      </c>
      <c r="AG31" s="6">
        <v>1</v>
      </c>
      <c r="AH31" s="6">
        <v>1</v>
      </c>
      <c r="AI31" s="6">
        <v>1</v>
      </c>
      <c r="AJ31" s="6">
        <v>1</v>
      </c>
      <c r="AK31" s="6">
        <v>1</v>
      </c>
      <c r="AL31" s="6">
        <v>1</v>
      </c>
      <c r="AM31" s="6">
        <v>1</v>
      </c>
      <c r="AN31" s="6">
        <v>1</v>
      </c>
      <c r="AO31" s="6">
        <v>1</v>
      </c>
      <c r="AP31" s="6">
        <v>1</v>
      </c>
      <c r="AQ31" s="6">
        <v>1</v>
      </c>
      <c r="AR31" s="6">
        <v>1</v>
      </c>
      <c r="AS31" s="6">
        <v>1</v>
      </c>
      <c r="AT31" s="6">
        <v>1</v>
      </c>
      <c r="AU31" s="6">
        <v>1</v>
      </c>
      <c r="AV31" s="6">
        <v>1</v>
      </c>
      <c r="AW31" s="6">
        <v>1</v>
      </c>
      <c r="AX31" s="6">
        <v>1</v>
      </c>
      <c r="AY31" s="6">
        <v>1</v>
      </c>
      <c r="AZ31" s="6">
        <v>1</v>
      </c>
      <c r="BA31" s="6">
        <v>1</v>
      </c>
      <c r="BB31" s="6">
        <v>1</v>
      </c>
      <c r="BC31" s="6">
        <v>1</v>
      </c>
      <c r="BD31" s="6">
        <v>1</v>
      </c>
      <c r="BE31" s="6">
        <v>1</v>
      </c>
      <c r="BF31" s="6">
        <v>1</v>
      </c>
      <c r="BG31" s="6">
        <v>1</v>
      </c>
      <c r="BH31" s="6">
        <v>1</v>
      </c>
      <c r="BI31" s="6">
        <v>1</v>
      </c>
      <c r="BJ31" s="6">
        <v>1</v>
      </c>
      <c r="BK31" s="6">
        <v>1</v>
      </c>
      <c r="BL31" s="6">
        <v>1</v>
      </c>
      <c r="BM31" s="6">
        <v>1</v>
      </c>
      <c r="BN31" s="6">
        <v>1</v>
      </c>
      <c r="BO31" s="6">
        <v>1</v>
      </c>
      <c r="BP31" s="6">
        <v>1</v>
      </c>
      <c r="BQ31" s="6">
        <v>1</v>
      </c>
      <c r="BR31" s="6">
        <v>1</v>
      </c>
      <c r="BS31" s="6">
        <v>1</v>
      </c>
      <c r="BT31" s="6">
        <v>1</v>
      </c>
      <c r="BU31" s="6">
        <v>1</v>
      </c>
      <c r="BV31" s="6">
        <v>1</v>
      </c>
      <c r="BW31" s="6">
        <v>1</v>
      </c>
      <c r="BX31" s="6">
        <v>1</v>
      </c>
      <c r="BY31" s="6">
        <v>1</v>
      </c>
      <c r="BZ31" s="6">
        <v>1</v>
      </c>
      <c r="CA31" s="6">
        <v>1</v>
      </c>
      <c r="CB31" s="6">
        <v>1</v>
      </c>
      <c r="CC31" s="6">
        <v>1</v>
      </c>
      <c r="CD31" s="6">
        <v>1</v>
      </c>
      <c r="CE31" s="6">
        <v>1</v>
      </c>
      <c r="CF31" s="6">
        <v>1</v>
      </c>
      <c r="CG31" s="6">
        <v>1</v>
      </c>
      <c r="CH31" s="6">
        <v>1</v>
      </c>
      <c r="CI31" s="6">
        <v>1</v>
      </c>
      <c r="CJ31" s="6">
        <v>1</v>
      </c>
      <c r="CK31" s="6">
        <v>1</v>
      </c>
      <c r="CL31" s="6">
        <v>1</v>
      </c>
      <c r="CM31" s="6">
        <v>1</v>
      </c>
      <c r="CN31" s="6">
        <v>1</v>
      </c>
      <c r="CO31" s="6">
        <v>1</v>
      </c>
      <c r="CP31" s="6">
        <v>1</v>
      </c>
      <c r="CQ31" s="6">
        <v>1</v>
      </c>
      <c r="CR31" s="6">
        <v>1</v>
      </c>
      <c r="CS31" s="6">
        <v>1</v>
      </c>
      <c r="CT31" s="6">
        <v>1</v>
      </c>
      <c r="CU31" s="6">
        <v>1</v>
      </c>
      <c r="CV31" s="6">
        <v>1</v>
      </c>
      <c r="CW31" s="6">
        <v>1</v>
      </c>
      <c r="CX31" s="6">
        <v>1</v>
      </c>
      <c r="CY31" s="6">
        <v>1</v>
      </c>
      <c r="CZ31" s="6">
        <v>1</v>
      </c>
      <c r="DA31" s="6">
        <v>1</v>
      </c>
      <c r="DB31" s="6">
        <v>1</v>
      </c>
      <c r="DC31" s="6">
        <v>1</v>
      </c>
      <c r="DD31" s="6">
        <v>1</v>
      </c>
      <c r="DE31" s="6">
        <v>1</v>
      </c>
      <c r="DF31" s="6">
        <v>1</v>
      </c>
      <c r="DG31" s="6">
        <v>1</v>
      </c>
      <c r="DH31" s="6">
        <v>1</v>
      </c>
      <c r="DI31" s="6">
        <v>1</v>
      </c>
      <c r="DJ31" s="6">
        <v>1</v>
      </c>
      <c r="DK31" s="6">
        <v>1</v>
      </c>
      <c r="DL31" s="6">
        <v>1</v>
      </c>
      <c r="DM31" s="6">
        <v>1</v>
      </c>
      <c r="DN31" s="6">
        <v>1</v>
      </c>
      <c r="DO31" s="6">
        <v>1</v>
      </c>
      <c r="DP31" s="6">
        <v>1</v>
      </c>
      <c r="DQ31" s="6">
        <v>1</v>
      </c>
      <c r="DR31" s="6">
        <v>1</v>
      </c>
      <c r="DS31" s="6">
        <v>1</v>
      </c>
      <c r="DT31" s="6">
        <v>1</v>
      </c>
      <c r="DU31" s="6">
        <v>1</v>
      </c>
      <c r="DV31" s="6">
        <v>1</v>
      </c>
      <c r="DW31" s="6">
        <v>1</v>
      </c>
      <c r="DX31" s="6">
        <v>1</v>
      </c>
      <c r="DY31" s="6">
        <v>1</v>
      </c>
      <c r="DZ31" s="6">
        <v>1</v>
      </c>
      <c r="EA31" s="6">
        <v>1</v>
      </c>
      <c r="EB31" s="6">
        <v>1</v>
      </c>
      <c r="EC31" s="6">
        <v>1</v>
      </c>
      <c r="ED31" s="6">
        <v>1</v>
      </c>
      <c r="EE31" s="6">
        <v>1</v>
      </c>
      <c r="EF31" s="6">
        <v>1</v>
      </c>
      <c r="EG31" s="6">
        <v>1</v>
      </c>
      <c r="EH31" s="6">
        <v>1</v>
      </c>
      <c r="EI31" s="6">
        <v>1</v>
      </c>
      <c r="EJ31" s="6">
        <v>1</v>
      </c>
      <c r="EK31" s="6">
        <v>1</v>
      </c>
      <c r="EL31" s="6">
        <v>1</v>
      </c>
      <c r="EM31" s="6">
        <v>1</v>
      </c>
      <c r="EN31" s="6">
        <v>1</v>
      </c>
      <c r="EO31" s="6">
        <v>1</v>
      </c>
      <c r="EP31" s="14">
        <v>1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7C88F-BCF0-4E80-89DD-CE26434E142D}">
  <dimension ref="A1:EP31"/>
  <sheetViews>
    <sheetView topLeftCell="BY1" workbookViewId="0">
      <selection activeCell="CE1" sqref="A1:EP31"/>
    </sheetView>
  </sheetViews>
  <sheetFormatPr defaultRowHeight="14.4" x14ac:dyDescent="0.3"/>
  <cols>
    <col min="2" max="2" width="29" bestFit="1" customWidth="1"/>
  </cols>
  <sheetData>
    <row r="1" spans="1:146" s="1" customFormat="1" ht="171.6" x14ac:dyDescent="0.3">
      <c r="A1" s="1" t="s">
        <v>1</v>
      </c>
      <c r="B1" s="1" t="s">
        <v>2</v>
      </c>
      <c r="C1" s="1" t="s">
        <v>118</v>
      </c>
      <c r="D1" s="1" t="s">
        <v>119</v>
      </c>
      <c r="E1" s="1" t="s">
        <v>120</v>
      </c>
      <c r="F1" s="1" t="s">
        <v>121</v>
      </c>
      <c r="G1" s="1" t="s">
        <v>122</v>
      </c>
      <c r="H1" s="1" t="s">
        <v>123</v>
      </c>
      <c r="I1" s="1" t="s">
        <v>124</v>
      </c>
      <c r="J1" s="1" t="s">
        <v>125</v>
      </c>
      <c r="K1" s="1" t="s">
        <v>126</v>
      </c>
      <c r="L1" s="1" t="s">
        <v>127</v>
      </c>
      <c r="M1" s="1" t="s">
        <v>128</v>
      </c>
      <c r="N1" s="1" t="s">
        <v>129</v>
      </c>
      <c r="O1" s="1" t="s">
        <v>116</v>
      </c>
      <c r="P1" s="1" t="s">
        <v>117</v>
      </c>
      <c r="Q1" s="1" t="s">
        <v>130</v>
      </c>
      <c r="R1" s="1" t="s">
        <v>131</v>
      </c>
      <c r="S1" s="1" t="s">
        <v>132</v>
      </c>
      <c r="T1" s="1" t="s">
        <v>133</v>
      </c>
      <c r="U1" s="1" t="s">
        <v>134</v>
      </c>
      <c r="V1" s="1" t="s">
        <v>135</v>
      </c>
      <c r="W1" s="1" t="s">
        <v>136</v>
      </c>
      <c r="X1" s="1" t="s">
        <v>137</v>
      </c>
      <c r="Y1" s="1" t="s">
        <v>138</v>
      </c>
      <c r="Z1" s="1" t="s">
        <v>139</v>
      </c>
      <c r="AA1" s="1" t="s">
        <v>140</v>
      </c>
      <c r="AB1" s="1" t="s">
        <v>141</v>
      </c>
      <c r="AC1" s="1" t="s">
        <v>142</v>
      </c>
      <c r="AD1" s="1" t="s">
        <v>143</v>
      </c>
      <c r="AE1" s="1" t="s">
        <v>144</v>
      </c>
      <c r="AF1" s="1" t="s">
        <v>145</v>
      </c>
      <c r="AG1" s="1" t="s">
        <v>146</v>
      </c>
      <c r="AH1" s="1" t="s">
        <v>147</v>
      </c>
      <c r="AI1" s="1" t="s">
        <v>148</v>
      </c>
      <c r="AJ1" s="1" t="s">
        <v>149</v>
      </c>
      <c r="AK1" s="1" t="s">
        <v>150</v>
      </c>
      <c r="AL1" s="1" t="s">
        <v>151</v>
      </c>
      <c r="AM1" s="1" t="s">
        <v>152</v>
      </c>
      <c r="AN1" s="1" t="s">
        <v>153</v>
      </c>
      <c r="AO1" s="1" t="s">
        <v>154</v>
      </c>
      <c r="AP1" s="1" t="s">
        <v>155</v>
      </c>
      <c r="AQ1" s="1" t="s">
        <v>156</v>
      </c>
      <c r="AR1" s="1" t="s">
        <v>157</v>
      </c>
      <c r="AS1" s="1" t="s">
        <v>158</v>
      </c>
      <c r="AT1" s="1" t="s">
        <v>159</v>
      </c>
      <c r="AU1" s="1" t="s">
        <v>160</v>
      </c>
      <c r="AV1" s="1" t="s">
        <v>161</v>
      </c>
      <c r="AW1" s="1" t="s">
        <v>162</v>
      </c>
      <c r="AX1" s="1" t="s">
        <v>163</v>
      </c>
      <c r="AY1" s="1" t="s">
        <v>164</v>
      </c>
      <c r="AZ1" s="1" t="s">
        <v>165</v>
      </c>
      <c r="BA1" s="1" t="s">
        <v>166</v>
      </c>
      <c r="BB1" s="1" t="s">
        <v>167</v>
      </c>
      <c r="BC1" s="1" t="s">
        <v>168</v>
      </c>
      <c r="BD1" s="1" t="s">
        <v>169</v>
      </c>
      <c r="BE1" s="1" t="s">
        <v>170</v>
      </c>
      <c r="BF1" s="1" t="s">
        <v>171</v>
      </c>
      <c r="BG1" s="1" t="s">
        <v>172</v>
      </c>
      <c r="BH1" s="1" t="s">
        <v>173</v>
      </c>
      <c r="BI1" s="1" t="s">
        <v>174</v>
      </c>
      <c r="BJ1" s="1" t="s">
        <v>175</v>
      </c>
      <c r="BK1" s="1" t="s">
        <v>176</v>
      </c>
      <c r="BL1" s="1" t="s">
        <v>177</v>
      </c>
      <c r="BM1" s="1" t="s">
        <v>178</v>
      </c>
      <c r="BN1" s="1" t="s">
        <v>179</v>
      </c>
      <c r="BO1" s="1" t="s">
        <v>180</v>
      </c>
      <c r="BP1" s="1" t="s">
        <v>181</v>
      </c>
      <c r="BQ1" s="1" t="s">
        <v>182</v>
      </c>
      <c r="BR1" s="1" t="s">
        <v>183</v>
      </c>
      <c r="BS1" s="1" t="s">
        <v>184</v>
      </c>
      <c r="BT1" s="1" t="s">
        <v>185</v>
      </c>
      <c r="BU1" s="1" t="s">
        <v>186</v>
      </c>
      <c r="BV1" s="1" t="s">
        <v>187</v>
      </c>
      <c r="BW1" s="1" t="s">
        <v>188</v>
      </c>
      <c r="BX1" s="1" t="s">
        <v>189</v>
      </c>
      <c r="BY1" s="1" t="s">
        <v>190</v>
      </c>
      <c r="BZ1" s="1" t="s">
        <v>191</v>
      </c>
      <c r="CA1" s="1" t="s">
        <v>192</v>
      </c>
      <c r="CB1" s="1" t="s">
        <v>193</v>
      </c>
      <c r="CC1" s="1" t="s">
        <v>194</v>
      </c>
      <c r="CD1" s="1" t="s">
        <v>195</v>
      </c>
      <c r="CE1" s="1" t="s">
        <v>196</v>
      </c>
      <c r="CF1" s="1" t="s">
        <v>197</v>
      </c>
      <c r="CG1" s="1" t="s">
        <v>198</v>
      </c>
      <c r="CH1" s="1" t="s">
        <v>199</v>
      </c>
      <c r="CI1" s="1" t="s">
        <v>152</v>
      </c>
      <c r="CJ1" s="1" t="s">
        <v>153</v>
      </c>
      <c r="CK1" s="1" t="s">
        <v>154</v>
      </c>
      <c r="CL1" s="1" t="s">
        <v>155</v>
      </c>
      <c r="CM1" s="1" t="s">
        <v>156</v>
      </c>
      <c r="CN1" s="1" t="s">
        <v>157</v>
      </c>
      <c r="CO1" s="1" t="s">
        <v>158</v>
      </c>
      <c r="CP1" s="1" t="s">
        <v>159</v>
      </c>
      <c r="CQ1" s="1" t="s">
        <v>160</v>
      </c>
      <c r="CR1" s="1" t="s">
        <v>161</v>
      </c>
      <c r="CS1" s="1" t="s">
        <v>162</v>
      </c>
      <c r="CT1" s="1" t="s">
        <v>163</v>
      </c>
      <c r="CU1" s="1" t="s">
        <v>200</v>
      </c>
      <c r="CV1" s="1" t="s">
        <v>201</v>
      </c>
      <c r="CW1" s="1" t="s">
        <v>202</v>
      </c>
      <c r="CX1" s="1" t="s">
        <v>203</v>
      </c>
      <c r="CY1" s="1" t="s">
        <v>204</v>
      </c>
      <c r="CZ1" s="1" t="s">
        <v>205</v>
      </c>
      <c r="DA1" s="1" t="s">
        <v>206</v>
      </c>
      <c r="DB1" s="1" t="s">
        <v>207</v>
      </c>
      <c r="DC1" s="1" t="s">
        <v>208</v>
      </c>
      <c r="DD1" s="1" t="s">
        <v>209</v>
      </c>
      <c r="DE1" s="1" t="s">
        <v>210</v>
      </c>
      <c r="DF1" s="1" t="s">
        <v>211</v>
      </c>
      <c r="DG1" s="1" t="s">
        <v>212</v>
      </c>
      <c r="DH1" s="1" t="s">
        <v>213</v>
      </c>
      <c r="DI1" s="1" t="s">
        <v>214</v>
      </c>
      <c r="DJ1" s="1" t="s">
        <v>215</v>
      </c>
      <c r="DK1" s="1" t="s">
        <v>216</v>
      </c>
      <c r="DL1" s="1" t="s">
        <v>217</v>
      </c>
      <c r="DM1" s="1" t="s">
        <v>218</v>
      </c>
      <c r="DN1" s="1" t="s">
        <v>219</v>
      </c>
      <c r="DO1" s="1" t="s">
        <v>220</v>
      </c>
      <c r="DP1" s="1" t="s">
        <v>221</v>
      </c>
      <c r="DQ1" s="1" t="s">
        <v>222</v>
      </c>
      <c r="DR1" s="1" t="s">
        <v>223</v>
      </c>
      <c r="DS1" s="1" t="s">
        <v>224</v>
      </c>
      <c r="DT1" s="1" t="s">
        <v>225</v>
      </c>
      <c r="DU1" s="1" t="s">
        <v>226</v>
      </c>
      <c r="DV1" s="1" t="s">
        <v>227</v>
      </c>
      <c r="DW1" s="1" t="s">
        <v>228</v>
      </c>
      <c r="DX1" s="1" t="s">
        <v>229</v>
      </c>
      <c r="DY1" s="1" t="s">
        <v>230</v>
      </c>
      <c r="DZ1" s="1" t="s">
        <v>231</v>
      </c>
      <c r="EA1" s="1" t="s">
        <v>232</v>
      </c>
      <c r="EB1" s="1" t="s">
        <v>233</v>
      </c>
      <c r="EC1" s="1" t="s">
        <v>234</v>
      </c>
      <c r="ED1" s="1" t="s">
        <v>235</v>
      </c>
      <c r="EE1" s="1" t="s">
        <v>236</v>
      </c>
      <c r="EF1" s="1" t="s">
        <v>237</v>
      </c>
      <c r="EG1" s="1" t="s">
        <v>238</v>
      </c>
      <c r="EH1" s="1" t="s">
        <v>239</v>
      </c>
      <c r="EI1" s="1" t="s">
        <v>240</v>
      </c>
      <c r="EJ1" s="1" t="s">
        <v>241</v>
      </c>
      <c r="EK1" s="1" t="s">
        <v>242</v>
      </c>
      <c r="EL1" s="1" t="s">
        <v>243</v>
      </c>
      <c r="EM1" s="1" t="s">
        <v>244</v>
      </c>
      <c r="EN1" s="1" t="s">
        <v>245</v>
      </c>
      <c r="EO1" s="1" t="s">
        <v>246</v>
      </c>
      <c r="EP1" s="1" t="s">
        <v>247</v>
      </c>
    </row>
    <row r="2" spans="1:146" x14ac:dyDescent="0.3">
      <c r="A2" s="3" t="s">
        <v>16</v>
      </c>
      <c r="B2" s="3" t="s">
        <v>16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</row>
    <row r="3" spans="1:146" x14ac:dyDescent="0.3">
      <c r="A3" s="3" t="s">
        <v>18</v>
      </c>
      <c r="B3" s="3" t="s">
        <v>19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</row>
    <row r="4" spans="1:146" x14ac:dyDescent="0.3">
      <c r="A4" s="3" t="s">
        <v>27</v>
      </c>
      <c r="B4" s="3" t="s">
        <v>28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</row>
    <row r="5" spans="1:146" x14ac:dyDescent="0.3">
      <c r="A5" s="3" t="s">
        <v>29</v>
      </c>
      <c r="B5" s="3" t="s">
        <v>30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</row>
    <row r="6" spans="1:146" x14ac:dyDescent="0.3">
      <c r="A6" s="3" t="s">
        <v>33</v>
      </c>
      <c r="B6" s="3" t="s">
        <v>34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</row>
    <row r="7" spans="1:146" x14ac:dyDescent="0.3">
      <c r="A7" s="3" t="s">
        <v>37</v>
      </c>
      <c r="B7" s="3" t="s">
        <v>38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</row>
    <row r="8" spans="1:146" x14ac:dyDescent="0.3">
      <c r="A8" s="3" t="s">
        <v>39</v>
      </c>
      <c r="B8" s="3" t="s">
        <v>40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</row>
    <row r="9" spans="1:146" x14ac:dyDescent="0.3">
      <c r="A9" s="3" t="s">
        <v>41</v>
      </c>
      <c r="B9" s="3" t="s">
        <v>42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</row>
    <row r="10" spans="1:146" x14ac:dyDescent="0.3">
      <c r="A10" s="3" t="s">
        <v>43</v>
      </c>
      <c r="B10" s="3" t="s">
        <v>44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</row>
    <row r="11" spans="1:146" x14ac:dyDescent="0.3">
      <c r="A11" s="3" t="s">
        <v>47</v>
      </c>
      <c r="B11" s="3" t="s">
        <v>48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</row>
    <row r="12" spans="1:146" x14ac:dyDescent="0.3">
      <c r="A12" s="3" t="s">
        <v>49</v>
      </c>
      <c r="B12" s="3" t="s">
        <v>50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</row>
    <row r="13" spans="1:146" x14ac:dyDescent="0.3">
      <c r="A13" s="3" t="s">
        <v>54</v>
      </c>
      <c r="B13" s="3" t="s">
        <v>55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</row>
    <row r="14" spans="1:146" x14ac:dyDescent="0.3">
      <c r="A14" s="3" t="s">
        <v>56</v>
      </c>
      <c r="B14" s="3" t="s">
        <v>57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</row>
    <row r="15" spans="1:146" x14ac:dyDescent="0.3">
      <c r="A15" s="3" t="s">
        <v>58</v>
      </c>
      <c r="B15" s="3" t="s">
        <v>59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</row>
    <row r="16" spans="1:146" x14ac:dyDescent="0.3">
      <c r="A16" s="3" t="s">
        <v>65</v>
      </c>
      <c r="B16" s="3" t="s">
        <v>66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</row>
    <row r="17" spans="1:146" x14ac:dyDescent="0.3">
      <c r="A17" s="3" t="s">
        <v>69</v>
      </c>
      <c r="B17" s="3" t="s">
        <v>70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</row>
    <row r="18" spans="1:146" x14ac:dyDescent="0.3">
      <c r="A18" s="3" t="s">
        <v>71</v>
      </c>
      <c r="B18" s="3" t="s">
        <v>72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</row>
    <row r="19" spans="1:146" x14ac:dyDescent="0.3">
      <c r="A19" s="3" t="s">
        <v>75</v>
      </c>
      <c r="B19" s="3" t="s">
        <v>76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</row>
    <row r="20" spans="1:146" x14ac:dyDescent="0.3">
      <c r="A20" s="3" t="s">
        <v>87</v>
      </c>
      <c r="B20" s="3" t="s">
        <v>88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</row>
    <row r="21" spans="1:146" x14ac:dyDescent="0.3">
      <c r="A21" s="3" t="s">
        <v>89</v>
      </c>
      <c r="B21" s="3" t="s">
        <v>90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</row>
    <row r="22" spans="1:146" x14ac:dyDescent="0.3">
      <c r="A22" s="3" t="s">
        <v>91</v>
      </c>
      <c r="B22" s="3" t="s">
        <v>92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</row>
    <row r="23" spans="1:146" x14ac:dyDescent="0.3">
      <c r="A23" s="3" t="s">
        <v>93</v>
      </c>
      <c r="B23" s="3" t="s">
        <v>94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</row>
    <row r="24" spans="1:146" x14ac:dyDescent="0.3">
      <c r="A24" s="3" t="s">
        <v>95</v>
      </c>
      <c r="B24" s="3" t="s">
        <v>96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</row>
    <row r="25" spans="1:146" x14ac:dyDescent="0.3">
      <c r="A25" s="3" t="s">
        <v>97</v>
      </c>
      <c r="B25" s="3" t="s">
        <v>97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</row>
    <row r="26" spans="1:146" x14ac:dyDescent="0.3">
      <c r="A26" s="3" t="s">
        <v>100</v>
      </c>
      <c r="B26" s="3" t="s">
        <v>101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</row>
    <row r="27" spans="1:146" x14ac:dyDescent="0.3">
      <c r="A27" s="3" t="s">
        <v>102</v>
      </c>
      <c r="B27" s="3" t="s">
        <v>103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</row>
    <row r="28" spans="1:146" x14ac:dyDescent="0.3">
      <c r="A28" s="3" t="s">
        <v>104</v>
      </c>
      <c r="B28" s="3" t="s">
        <v>105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</row>
    <row r="29" spans="1:146" x14ac:dyDescent="0.3">
      <c r="A29" s="3" t="s">
        <v>108</v>
      </c>
      <c r="B29" s="3" t="s">
        <v>109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</row>
    <row r="30" spans="1:146" x14ac:dyDescent="0.3">
      <c r="A30" s="3" t="s">
        <v>110</v>
      </c>
      <c r="B30" s="3" t="s">
        <v>111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</row>
    <row r="31" spans="1:146" s="7" customFormat="1" x14ac:dyDescent="0.3">
      <c r="A31" s="3" t="s">
        <v>114</v>
      </c>
      <c r="B31" s="3" t="s">
        <v>115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3E589-F3EC-4233-8282-A87FAA4BA802}">
  <dimension ref="A1:O331"/>
  <sheetViews>
    <sheetView topLeftCell="C1" workbookViewId="0">
      <selection activeCell="Q328" sqref="Q328"/>
    </sheetView>
  </sheetViews>
  <sheetFormatPr defaultRowHeight="14.4" x14ac:dyDescent="0.3"/>
  <cols>
    <col min="1" max="1" width="11.77734375" bestFit="1" customWidth="1"/>
    <col min="2" max="2" width="29" bestFit="1" customWidth="1"/>
    <col min="3" max="3" width="57.6640625" customWidth="1"/>
    <col min="4" max="15" width="8.77734375" customWidth="1"/>
    <col min="16" max="23" width="8.21875" bestFit="1" customWidth="1"/>
    <col min="24" max="27" width="9.21875" bestFit="1" customWidth="1"/>
  </cols>
  <sheetData>
    <row r="1" spans="1:15" x14ac:dyDescent="0.3">
      <c r="A1" t="s">
        <v>1</v>
      </c>
      <c r="B1" t="s">
        <v>2</v>
      </c>
      <c r="C1" t="s">
        <v>260</v>
      </c>
      <c r="D1" t="s">
        <v>261</v>
      </c>
      <c r="E1" t="s">
        <v>262</v>
      </c>
      <c r="F1" t="s">
        <v>263</v>
      </c>
      <c r="G1" t="s">
        <v>264</v>
      </c>
      <c r="H1" t="s">
        <v>265</v>
      </c>
      <c r="I1" t="s">
        <v>266</v>
      </c>
      <c r="J1" t="s">
        <v>267</v>
      </c>
      <c r="K1" t="s">
        <v>268</v>
      </c>
      <c r="L1" t="s">
        <v>269</v>
      </c>
      <c r="M1" t="s">
        <v>270</v>
      </c>
      <c r="N1" t="s">
        <v>271</v>
      </c>
      <c r="O1" t="s">
        <v>272</v>
      </c>
    </row>
    <row r="2" spans="1:15" x14ac:dyDescent="0.3">
      <c r="A2" t="s">
        <v>49</v>
      </c>
      <c r="B2" t="s">
        <v>50</v>
      </c>
      <c r="C2" t="s">
        <v>278</v>
      </c>
      <c r="D2">
        <f>12476</f>
        <v>12476</v>
      </c>
      <c r="E2" s="15">
        <v>10367</v>
      </c>
      <c r="F2">
        <v>8266</v>
      </c>
      <c r="G2">
        <v>6167</v>
      </c>
      <c r="H2">
        <v>4069</v>
      </c>
      <c r="I2">
        <v>3589</v>
      </c>
      <c r="J2">
        <v>3109</v>
      </c>
      <c r="K2">
        <v>2629</v>
      </c>
      <c r="L2">
        <v>2149</v>
      </c>
      <c r="M2">
        <v>1671</v>
      </c>
      <c r="N2">
        <v>1191</v>
      </c>
      <c r="O2">
        <v>711</v>
      </c>
    </row>
    <row r="3" spans="1:15" x14ac:dyDescent="0.3">
      <c r="A3" t="s">
        <v>49</v>
      </c>
      <c r="B3" t="s">
        <v>50</v>
      </c>
      <c r="C3" t="s">
        <v>279</v>
      </c>
      <c r="D3">
        <v>10367</v>
      </c>
      <c r="E3">
        <v>8266</v>
      </c>
      <c r="F3">
        <v>6167</v>
      </c>
      <c r="G3">
        <v>4069</v>
      </c>
      <c r="H3">
        <v>3589</v>
      </c>
      <c r="I3">
        <v>3109</v>
      </c>
      <c r="J3" s="15">
        <v>2629</v>
      </c>
      <c r="K3">
        <v>2149</v>
      </c>
      <c r="L3">
        <v>1671</v>
      </c>
      <c r="M3">
        <v>1191</v>
      </c>
      <c r="N3">
        <v>711</v>
      </c>
      <c r="O3">
        <v>231</v>
      </c>
    </row>
    <row r="4" spans="1:15" x14ac:dyDescent="0.3">
      <c r="A4" t="s">
        <v>49</v>
      </c>
      <c r="B4" t="s">
        <v>50</v>
      </c>
      <c r="C4" t="s">
        <v>273</v>
      </c>
      <c r="D4">
        <v>2109</v>
      </c>
      <c r="E4">
        <v>2101</v>
      </c>
      <c r="F4">
        <v>2099</v>
      </c>
      <c r="G4">
        <v>2098</v>
      </c>
      <c r="H4">
        <v>480</v>
      </c>
      <c r="I4">
        <v>480</v>
      </c>
      <c r="J4">
        <v>480</v>
      </c>
      <c r="K4">
        <v>480</v>
      </c>
      <c r="L4">
        <v>478</v>
      </c>
      <c r="M4">
        <v>480</v>
      </c>
      <c r="N4">
        <v>480</v>
      </c>
      <c r="O4">
        <v>480</v>
      </c>
    </row>
    <row r="5" spans="1:15" hidden="1" x14ac:dyDescent="0.3">
      <c r="A5" t="s">
        <v>49</v>
      </c>
      <c r="B5" t="s">
        <v>50</v>
      </c>
      <c r="C5" t="s">
        <v>282</v>
      </c>
      <c r="D5" s="15">
        <v>232185</v>
      </c>
      <c r="E5" s="15">
        <v>211140</v>
      </c>
      <c r="F5">
        <v>194863</v>
      </c>
      <c r="G5">
        <v>194863</v>
      </c>
      <c r="H5">
        <v>187811</v>
      </c>
      <c r="I5" s="15">
        <v>168435</v>
      </c>
      <c r="J5">
        <v>140248</v>
      </c>
      <c r="K5" s="15">
        <v>94658</v>
      </c>
      <c r="L5">
        <v>67424</v>
      </c>
      <c r="M5" s="15">
        <v>37266</v>
      </c>
      <c r="N5" s="15">
        <v>8868</v>
      </c>
      <c r="O5">
        <v>8065</v>
      </c>
    </row>
    <row r="6" spans="1:15" x14ac:dyDescent="0.3">
      <c r="A6" t="s">
        <v>49</v>
      </c>
      <c r="B6" t="s">
        <v>50</v>
      </c>
      <c r="C6" t="s">
        <v>274</v>
      </c>
      <c r="D6" s="15">
        <v>346394</v>
      </c>
      <c r="E6" s="15">
        <v>346394</v>
      </c>
      <c r="F6">
        <v>370841</v>
      </c>
      <c r="G6">
        <v>347249</v>
      </c>
      <c r="H6">
        <v>228460</v>
      </c>
      <c r="I6">
        <v>230480</v>
      </c>
      <c r="J6">
        <v>230480</v>
      </c>
      <c r="K6">
        <v>295398</v>
      </c>
      <c r="L6">
        <v>220023</v>
      </c>
      <c r="M6">
        <v>240663</v>
      </c>
      <c r="N6">
        <v>346695</v>
      </c>
      <c r="O6">
        <v>346695</v>
      </c>
    </row>
    <row r="7" spans="1:15" x14ac:dyDescent="0.3">
      <c r="A7" t="s">
        <v>49</v>
      </c>
      <c r="B7" t="s">
        <v>50</v>
      </c>
      <c r="C7" t="s">
        <v>275</v>
      </c>
      <c r="D7" s="15">
        <v>346394</v>
      </c>
      <c r="E7" s="15">
        <v>370841</v>
      </c>
      <c r="F7">
        <v>347249</v>
      </c>
      <c r="G7">
        <v>228460</v>
      </c>
      <c r="H7">
        <v>230480</v>
      </c>
      <c r="I7">
        <v>230480</v>
      </c>
      <c r="J7">
        <v>295398</v>
      </c>
      <c r="K7">
        <v>220023</v>
      </c>
      <c r="L7">
        <v>240663</v>
      </c>
      <c r="M7">
        <v>346695</v>
      </c>
      <c r="N7">
        <v>346695</v>
      </c>
      <c r="O7">
        <v>172741</v>
      </c>
    </row>
    <row r="8" spans="1:15" hidden="1" x14ac:dyDescent="0.3">
      <c r="A8" t="s">
        <v>49</v>
      </c>
      <c r="B8" t="s">
        <v>50</v>
      </c>
      <c r="C8" t="s">
        <v>277</v>
      </c>
      <c r="D8">
        <v>0</v>
      </c>
      <c r="E8">
        <v>24926</v>
      </c>
      <c r="F8">
        <v>0</v>
      </c>
      <c r="G8">
        <v>0</v>
      </c>
      <c r="H8">
        <v>2020</v>
      </c>
      <c r="I8">
        <v>0</v>
      </c>
      <c r="J8">
        <v>64918</v>
      </c>
      <c r="K8">
        <v>0</v>
      </c>
      <c r="L8">
        <v>20640</v>
      </c>
      <c r="M8">
        <v>106032</v>
      </c>
      <c r="N8">
        <v>0</v>
      </c>
      <c r="O8">
        <v>0</v>
      </c>
    </row>
    <row r="9" spans="1:15" x14ac:dyDescent="0.3">
      <c r="A9" t="s">
        <v>49</v>
      </c>
      <c r="B9" t="s">
        <v>50</v>
      </c>
      <c r="C9" t="s">
        <v>276</v>
      </c>
      <c r="D9" s="15">
        <v>0</v>
      </c>
      <c r="E9">
        <v>479</v>
      </c>
      <c r="F9">
        <v>23592</v>
      </c>
      <c r="G9">
        <v>118789</v>
      </c>
      <c r="H9">
        <v>0</v>
      </c>
      <c r="I9">
        <v>0</v>
      </c>
      <c r="J9">
        <v>0</v>
      </c>
      <c r="K9">
        <v>75375</v>
      </c>
      <c r="L9">
        <v>0</v>
      </c>
      <c r="M9">
        <v>0</v>
      </c>
      <c r="N9">
        <v>0</v>
      </c>
      <c r="O9">
        <v>173954</v>
      </c>
    </row>
    <row r="10" spans="1:15" x14ac:dyDescent="0.3">
      <c r="A10" t="s">
        <v>49</v>
      </c>
      <c r="B10" t="s">
        <v>50</v>
      </c>
      <c r="C10" t="s">
        <v>281</v>
      </c>
      <c r="D10" s="15">
        <v>333918</v>
      </c>
      <c r="E10">
        <v>336027</v>
      </c>
      <c r="F10">
        <v>362575</v>
      </c>
      <c r="G10">
        <v>341082</v>
      </c>
      <c r="H10">
        <v>224391</v>
      </c>
      <c r="I10">
        <v>226891</v>
      </c>
      <c r="J10">
        <v>227371</v>
      </c>
      <c r="K10">
        <v>292769</v>
      </c>
      <c r="L10">
        <v>217874</v>
      </c>
      <c r="M10">
        <v>238992</v>
      </c>
      <c r="N10">
        <v>345504</v>
      </c>
      <c r="O10">
        <v>345984</v>
      </c>
    </row>
    <row r="11" spans="1:15" x14ac:dyDescent="0.3">
      <c r="A11" t="s">
        <v>49</v>
      </c>
      <c r="B11" t="s">
        <v>50</v>
      </c>
      <c r="C11" t="s">
        <v>280</v>
      </c>
      <c r="D11" s="15">
        <v>336027</v>
      </c>
      <c r="E11">
        <v>362575</v>
      </c>
      <c r="F11">
        <v>341082</v>
      </c>
      <c r="G11">
        <v>224391</v>
      </c>
      <c r="H11">
        <v>226891</v>
      </c>
      <c r="I11">
        <v>227371</v>
      </c>
      <c r="J11">
        <v>292769</v>
      </c>
      <c r="K11">
        <v>217874</v>
      </c>
      <c r="L11">
        <v>238992</v>
      </c>
      <c r="M11">
        <v>345504</v>
      </c>
      <c r="N11">
        <v>345984</v>
      </c>
      <c r="O11">
        <v>172510</v>
      </c>
    </row>
    <row r="12" spans="1:15" x14ac:dyDescent="0.3">
      <c r="A12" t="s">
        <v>49</v>
      </c>
      <c r="B12" t="s">
        <v>50</v>
      </c>
      <c r="C12" t="s">
        <v>284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 x14ac:dyDescent="0.3">
      <c r="A13" t="s">
        <v>16</v>
      </c>
      <c r="B13" t="s">
        <v>16</v>
      </c>
      <c r="C13" t="s">
        <v>278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</row>
    <row r="14" spans="1:15" x14ac:dyDescent="0.3">
      <c r="A14" t="s">
        <v>16</v>
      </c>
      <c r="B14" t="s">
        <v>16</v>
      </c>
      <c r="C14" t="s">
        <v>279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</row>
    <row r="15" spans="1:15" x14ac:dyDescent="0.3">
      <c r="A15" t="s">
        <v>16</v>
      </c>
      <c r="B15" t="s">
        <v>16</v>
      </c>
      <c r="C15" t="s">
        <v>273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</row>
    <row r="16" spans="1:15" hidden="1" x14ac:dyDescent="0.3">
      <c r="A16" t="s">
        <v>16</v>
      </c>
      <c r="B16" t="s">
        <v>16</v>
      </c>
      <c r="C16" t="s">
        <v>282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</row>
    <row r="17" spans="1:15" x14ac:dyDescent="0.3">
      <c r="A17" t="s">
        <v>16</v>
      </c>
      <c r="B17" t="s">
        <v>16</v>
      </c>
      <c r="C17" t="s">
        <v>274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</row>
    <row r="18" spans="1:15" x14ac:dyDescent="0.3">
      <c r="A18" t="s">
        <v>16</v>
      </c>
      <c r="B18" t="s">
        <v>16</v>
      </c>
      <c r="C18" t="s">
        <v>275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</row>
    <row r="19" spans="1:15" hidden="1" x14ac:dyDescent="0.3">
      <c r="A19" t="s">
        <v>16</v>
      </c>
      <c r="B19" t="s">
        <v>16</v>
      </c>
      <c r="C19" t="s">
        <v>277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</row>
    <row r="20" spans="1:15" x14ac:dyDescent="0.3">
      <c r="A20" t="s">
        <v>16</v>
      </c>
      <c r="B20" t="s">
        <v>16</v>
      </c>
      <c r="C20" t="s">
        <v>276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</row>
    <row r="21" spans="1:15" x14ac:dyDescent="0.3">
      <c r="A21" t="s">
        <v>16</v>
      </c>
      <c r="B21" t="s">
        <v>16</v>
      </c>
      <c r="C21" t="s">
        <v>281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</row>
    <row r="22" spans="1:15" x14ac:dyDescent="0.3">
      <c r="A22" t="s">
        <v>16</v>
      </c>
      <c r="B22" t="s">
        <v>16</v>
      </c>
      <c r="C22" t="s">
        <v>280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</row>
    <row r="23" spans="1:15" x14ac:dyDescent="0.3">
      <c r="A23" t="s">
        <v>16</v>
      </c>
      <c r="B23" t="s">
        <v>16</v>
      </c>
      <c r="C23" t="s">
        <v>284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</row>
    <row r="24" spans="1:15" x14ac:dyDescent="0.3">
      <c r="A24" t="s">
        <v>18</v>
      </c>
      <c r="B24" t="s">
        <v>19</v>
      </c>
      <c r="C24" t="s">
        <v>278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</row>
    <row r="25" spans="1:15" x14ac:dyDescent="0.3">
      <c r="A25" t="s">
        <v>18</v>
      </c>
      <c r="B25" t="s">
        <v>19</v>
      </c>
      <c r="C25" t="s">
        <v>279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</row>
    <row r="26" spans="1:15" x14ac:dyDescent="0.3">
      <c r="A26" t="s">
        <v>18</v>
      </c>
      <c r="B26" t="s">
        <v>19</v>
      </c>
      <c r="C26" t="s">
        <v>273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</row>
    <row r="27" spans="1:15" hidden="1" x14ac:dyDescent="0.3">
      <c r="A27" t="s">
        <v>18</v>
      </c>
      <c r="B27" t="s">
        <v>19</v>
      </c>
      <c r="C27" t="s">
        <v>282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</row>
    <row r="28" spans="1:15" x14ac:dyDescent="0.3">
      <c r="A28" t="s">
        <v>18</v>
      </c>
      <c r="B28" t="s">
        <v>19</v>
      </c>
      <c r="C28" t="s">
        <v>274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</row>
    <row r="29" spans="1:15" x14ac:dyDescent="0.3">
      <c r="A29" t="s">
        <v>18</v>
      </c>
      <c r="B29" t="s">
        <v>19</v>
      </c>
      <c r="C29" t="s">
        <v>275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</row>
    <row r="30" spans="1:15" hidden="1" x14ac:dyDescent="0.3">
      <c r="A30" t="s">
        <v>18</v>
      </c>
      <c r="B30" t="s">
        <v>19</v>
      </c>
      <c r="C30" t="s">
        <v>277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</row>
    <row r="31" spans="1:15" x14ac:dyDescent="0.3">
      <c r="A31" t="s">
        <v>18</v>
      </c>
      <c r="B31" t="s">
        <v>19</v>
      </c>
      <c r="C31" t="s">
        <v>276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</row>
    <row r="32" spans="1:15" x14ac:dyDescent="0.3">
      <c r="A32" t="s">
        <v>18</v>
      </c>
      <c r="B32" t="s">
        <v>19</v>
      </c>
      <c r="C32" t="s">
        <v>281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</row>
    <row r="33" spans="1:15" x14ac:dyDescent="0.3">
      <c r="A33" t="s">
        <v>18</v>
      </c>
      <c r="B33" t="s">
        <v>19</v>
      </c>
      <c r="C33" t="s">
        <v>280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</row>
    <row r="34" spans="1:15" x14ac:dyDescent="0.3">
      <c r="A34" t="s">
        <v>18</v>
      </c>
      <c r="B34" t="s">
        <v>19</v>
      </c>
      <c r="C34" t="s">
        <v>284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</row>
    <row r="35" spans="1:15" x14ac:dyDescent="0.3">
      <c r="A35" t="s">
        <v>58</v>
      </c>
      <c r="B35" t="s">
        <v>59</v>
      </c>
      <c r="C35" t="s">
        <v>278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</row>
    <row r="36" spans="1:15" x14ac:dyDescent="0.3">
      <c r="A36" t="s">
        <v>58</v>
      </c>
      <c r="B36" t="s">
        <v>59</v>
      </c>
      <c r="C36" t="s">
        <v>279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</row>
    <row r="37" spans="1:15" x14ac:dyDescent="0.3">
      <c r="A37" t="s">
        <v>58</v>
      </c>
      <c r="B37" t="s">
        <v>59</v>
      </c>
      <c r="C37" t="s">
        <v>273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</row>
    <row r="38" spans="1:15" hidden="1" x14ac:dyDescent="0.3">
      <c r="A38" t="s">
        <v>58</v>
      </c>
      <c r="B38" t="s">
        <v>59</v>
      </c>
      <c r="C38" t="s">
        <v>282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</row>
    <row r="39" spans="1:15" x14ac:dyDescent="0.3">
      <c r="A39" t="s">
        <v>58</v>
      </c>
      <c r="B39" t="s">
        <v>59</v>
      </c>
      <c r="C39" t="s">
        <v>274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</row>
    <row r="40" spans="1:15" x14ac:dyDescent="0.3">
      <c r="A40" t="s">
        <v>58</v>
      </c>
      <c r="B40" t="s">
        <v>59</v>
      </c>
      <c r="C40" t="s">
        <v>275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</row>
    <row r="41" spans="1:15" hidden="1" x14ac:dyDescent="0.3">
      <c r="A41" t="s">
        <v>58</v>
      </c>
      <c r="B41" t="s">
        <v>59</v>
      </c>
      <c r="C41" t="s">
        <v>277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</row>
    <row r="42" spans="1:15" x14ac:dyDescent="0.3">
      <c r="A42" t="s">
        <v>58</v>
      </c>
      <c r="B42" t="s">
        <v>59</v>
      </c>
      <c r="C42" t="s">
        <v>276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</row>
    <row r="43" spans="1:15" x14ac:dyDescent="0.3">
      <c r="A43" t="s">
        <v>58</v>
      </c>
      <c r="B43" t="s">
        <v>59</v>
      </c>
      <c r="C43" t="s">
        <v>281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</row>
    <row r="44" spans="1:15" x14ac:dyDescent="0.3">
      <c r="A44" t="s">
        <v>58</v>
      </c>
      <c r="B44" t="s">
        <v>59</v>
      </c>
      <c r="C44" t="s">
        <v>280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</row>
    <row r="45" spans="1:15" x14ac:dyDescent="0.3">
      <c r="A45" t="s">
        <v>58</v>
      </c>
      <c r="B45" t="s">
        <v>59</v>
      </c>
      <c r="C45" t="s">
        <v>284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</row>
    <row r="46" spans="1:15" x14ac:dyDescent="0.3">
      <c r="A46" t="s">
        <v>56</v>
      </c>
      <c r="B46" t="s">
        <v>57</v>
      </c>
      <c r="C46" t="s">
        <v>278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</row>
    <row r="47" spans="1:15" x14ac:dyDescent="0.3">
      <c r="A47" t="s">
        <v>56</v>
      </c>
      <c r="B47" t="s">
        <v>57</v>
      </c>
      <c r="C47" t="s">
        <v>279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</row>
    <row r="48" spans="1:15" x14ac:dyDescent="0.3">
      <c r="A48" t="s">
        <v>56</v>
      </c>
      <c r="B48" t="s">
        <v>57</v>
      </c>
      <c r="C48" t="s">
        <v>273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</row>
    <row r="49" spans="1:15" hidden="1" x14ac:dyDescent="0.3">
      <c r="A49" t="s">
        <v>56</v>
      </c>
      <c r="B49" t="s">
        <v>57</v>
      </c>
      <c r="C49" t="s">
        <v>282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</row>
    <row r="50" spans="1:15" x14ac:dyDescent="0.3">
      <c r="A50" t="s">
        <v>56</v>
      </c>
      <c r="B50" t="s">
        <v>57</v>
      </c>
      <c r="C50" t="s">
        <v>274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</row>
    <row r="51" spans="1:15" x14ac:dyDescent="0.3">
      <c r="A51" t="s">
        <v>56</v>
      </c>
      <c r="B51" t="s">
        <v>57</v>
      </c>
      <c r="C51" t="s">
        <v>275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</row>
    <row r="52" spans="1:15" hidden="1" x14ac:dyDescent="0.3">
      <c r="A52" t="s">
        <v>56</v>
      </c>
      <c r="B52" t="s">
        <v>57</v>
      </c>
      <c r="C52" t="s">
        <v>277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</row>
    <row r="53" spans="1:15" x14ac:dyDescent="0.3">
      <c r="A53" t="s">
        <v>56</v>
      </c>
      <c r="B53" t="s">
        <v>57</v>
      </c>
      <c r="C53" t="s">
        <v>276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</row>
    <row r="54" spans="1:15" x14ac:dyDescent="0.3">
      <c r="A54" t="s">
        <v>56</v>
      </c>
      <c r="B54" t="s">
        <v>57</v>
      </c>
      <c r="C54" t="s">
        <v>281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</row>
    <row r="55" spans="1:15" x14ac:dyDescent="0.3">
      <c r="A55" t="s">
        <v>56</v>
      </c>
      <c r="B55" t="s">
        <v>57</v>
      </c>
      <c r="C55" t="s">
        <v>280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</row>
    <row r="56" spans="1:15" x14ac:dyDescent="0.3">
      <c r="A56" t="s">
        <v>56</v>
      </c>
      <c r="B56" t="s">
        <v>57</v>
      </c>
      <c r="C56" t="s">
        <v>284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</row>
    <row r="57" spans="1:15" x14ac:dyDescent="0.3">
      <c r="A57" t="s">
        <v>27</v>
      </c>
      <c r="B57" t="s">
        <v>28</v>
      </c>
      <c r="C57" t="s">
        <v>278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</row>
    <row r="58" spans="1:15" x14ac:dyDescent="0.3">
      <c r="A58" t="s">
        <v>27</v>
      </c>
      <c r="B58" t="s">
        <v>28</v>
      </c>
      <c r="C58" t="s">
        <v>279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</row>
    <row r="59" spans="1:15" x14ac:dyDescent="0.3">
      <c r="A59" t="s">
        <v>27</v>
      </c>
      <c r="B59" t="s">
        <v>28</v>
      </c>
      <c r="C59" t="s">
        <v>273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</row>
    <row r="60" spans="1:15" hidden="1" x14ac:dyDescent="0.3">
      <c r="A60" t="s">
        <v>27</v>
      </c>
      <c r="B60" t="s">
        <v>28</v>
      </c>
      <c r="C60" t="s">
        <v>282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</row>
    <row r="61" spans="1:15" x14ac:dyDescent="0.3">
      <c r="A61" t="s">
        <v>27</v>
      </c>
      <c r="B61" t="s">
        <v>28</v>
      </c>
      <c r="C61" t="s">
        <v>274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</row>
    <row r="62" spans="1:15" x14ac:dyDescent="0.3">
      <c r="A62" t="s">
        <v>27</v>
      </c>
      <c r="B62" t="s">
        <v>28</v>
      </c>
      <c r="C62" t="s">
        <v>275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</row>
    <row r="63" spans="1:15" hidden="1" x14ac:dyDescent="0.3">
      <c r="A63" t="s">
        <v>27</v>
      </c>
      <c r="B63" t="s">
        <v>28</v>
      </c>
      <c r="C63" t="s">
        <v>277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</row>
    <row r="64" spans="1:15" x14ac:dyDescent="0.3">
      <c r="A64" t="s">
        <v>27</v>
      </c>
      <c r="B64" t="s">
        <v>28</v>
      </c>
      <c r="C64" t="s">
        <v>276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</row>
    <row r="65" spans="1:15" x14ac:dyDescent="0.3">
      <c r="A65" t="s">
        <v>27</v>
      </c>
      <c r="B65" t="s">
        <v>28</v>
      </c>
      <c r="C65" t="s">
        <v>281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</row>
    <row r="66" spans="1:15" x14ac:dyDescent="0.3">
      <c r="A66" t="s">
        <v>27</v>
      </c>
      <c r="B66" t="s">
        <v>28</v>
      </c>
      <c r="C66" t="s">
        <v>280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</row>
    <row r="67" spans="1:15" x14ac:dyDescent="0.3">
      <c r="A67" t="s">
        <v>27</v>
      </c>
      <c r="B67" t="s">
        <v>28</v>
      </c>
      <c r="C67" t="s">
        <v>284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</row>
    <row r="68" spans="1:15" x14ac:dyDescent="0.3">
      <c r="A68" t="s">
        <v>54</v>
      </c>
      <c r="B68" t="s">
        <v>55</v>
      </c>
      <c r="C68" t="s">
        <v>278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</row>
    <row r="69" spans="1:15" x14ac:dyDescent="0.3">
      <c r="A69" t="s">
        <v>54</v>
      </c>
      <c r="B69" t="s">
        <v>55</v>
      </c>
      <c r="C69" t="s">
        <v>279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</row>
    <row r="70" spans="1:15" x14ac:dyDescent="0.3">
      <c r="A70" t="s">
        <v>54</v>
      </c>
      <c r="B70" t="s">
        <v>55</v>
      </c>
      <c r="C70" t="s">
        <v>273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</row>
    <row r="71" spans="1:15" hidden="1" x14ac:dyDescent="0.3">
      <c r="A71" t="s">
        <v>54</v>
      </c>
      <c r="B71" t="s">
        <v>55</v>
      </c>
      <c r="C71" t="s">
        <v>282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</row>
    <row r="72" spans="1:15" x14ac:dyDescent="0.3">
      <c r="A72" t="s">
        <v>54</v>
      </c>
      <c r="B72" t="s">
        <v>55</v>
      </c>
      <c r="C72" t="s">
        <v>274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</row>
    <row r="73" spans="1:15" x14ac:dyDescent="0.3">
      <c r="A73" t="s">
        <v>54</v>
      </c>
      <c r="B73" t="s">
        <v>55</v>
      </c>
      <c r="C73" t="s">
        <v>275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</row>
    <row r="74" spans="1:15" hidden="1" x14ac:dyDescent="0.3">
      <c r="A74" t="s">
        <v>54</v>
      </c>
      <c r="B74" t="s">
        <v>55</v>
      </c>
      <c r="C74" t="s">
        <v>277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</row>
    <row r="75" spans="1:15" x14ac:dyDescent="0.3">
      <c r="A75" t="s">
        <v>54</v>
      </c>
      <c r="B75" t="s">
        <v>55</v>
      </c>
      <c r="C75" t="s">
        <v>276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</row>
    <row r="76" spans="1:15" x14ac:dyDescent="0.3">
      <c r="A76" t="s">
        <v>54</v>
      </c>
      <c r="B76" t="s">
        <v>55</v>
      </c>
      <c r="C76" t="s">
        <v>281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</row>
    <row r="77" spans="1:15" x14ac:dyDescent="0.3">
      <c r="A77" t="s">
        <v>54</v>
      </c>
      <c r="B77" t="s">
        <v>55</v>
      </c>
      <c r="C77" t="s">
        <v>280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</row>
    <row r="78" spans="1:15" x14ac:dyDescent="0.3">
      <c r="A78" t="s">
        <v>54</v>
      </c>
      <c r="B78" t="s">
        <v>55</v>
      </c>
      <c r="C78" t="s">
        <v>284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</row>
    <row r="79" spans="1:15" x14ac:dyDescent="0.3">
      <c r="A79" t="s">
        <v>110</v>
      </c>
      <c r="B79" t="s">
        <v>111</v>
      </c>
      <c r="C79" t="s">
        <v>278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</row>
    <row r="80" spans="1:15" x14ac:dyDescent="0.3">
      <c r="A80" t="s">
        <v>110</v>
      </c>
      <c r="B80" t="s">
        <v>111</v>
      </c>
      <c r="C80" t="s">
        <v>279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</row>
    <row r="81" spans="1:15" x14ac:dyDescent="0.3">
      <c r="A81" t="s">
        <v>110</v>
      </c>
      <c r="B81" t="s">
        <v>111</v>
      </c>
      <c r="C81" t="s">
        <v>273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</row>
    <row r="82" spans="1:15" hidden="1" x14ac:dyDescent="0.3">
      <c r="A82" t="s">
        <v>110</v>
      </c>
      <c r="B82" t="s">
        <v>111</v>
      </c>
      <c r="C82" t="s">
        <v>282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</row>
    <row r="83" spans="1:15" x14ac:dyDescent="0.3">
      <c r="A83" t="s">
        <v>110</v>
      </c>
      <c r="B83" t="s">
        <v>111</v>
      </c>
      <c r="C83" t="s">
        <v>274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</row>
    <row r="84" spans="1:15" x14ac:dyDescent="0.3">
      <c r="A84" t="s">
        <v>110</v>
      </c>
      <c r="B84" t="s">
        <v>111</v>
      </c>
      <c r="C84" t="s">
        <v>275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</row>
    <row r="85" spans="1:15" hidden="1" x14ac:dyDescent="0.3">
      <c r="A85" t="s">
        <v>110</v>
      </c>
      <c r="B85" t="s">
        <v>111</v>
      </c>
      <c r="C85" t="s">
        <v>277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</row>
    <row r="86" spans="1:15" x14ac:dyDescent="0.3">
      <c r="A86" t="s">
        <v>110</v>
      </c>
      <c r="B86" t="s">
        <v>111</v>
      </c>
      <c r="C86" t="s">
        <v>276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</row>
    <row r="87" spans="1:15" x14ac:dyDescent="0.3">
      <c r="A87" t="s">
        <v>110</v>
      </c>
      <c r="B87" t="s">
        <v>111</v>
      </c>
      <c r="C87" t="s">
        <v>281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</row>
    <row r="88" spans="1:15" x14ac:dyDescent="0.3">
      <c r="A88" t="s">
        <v>110</v>
      </c>
      <c r="B88" t="s">
        <v>111</v>
      </c>
      <c r="C88" t="s">
        <v>280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</row>
    <row r="89" spans="1:15" x14ac:dyDescent="0.3">
      <c r="A89" t="s">
        <v>110</v>
      </c>
      <c r="B89" t="s">
        <v>111</v>
      </c>
      <c r="C89" t="s">
        <v>284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</row>
    <row r="90" spans="1:15" x14ac:dyDescent="0.3">
      <c r="A90" t="s">
        <v>29</v>
      </c>
      <c r="B90" t="s">
        <v>30</v>
      </c>
      <c r="C90" t="s">
        <v>278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</row>
    <row r="91" spans="1:15" x14ac:dyDescent="0.3">
      <c r="A91" t="s">
        <v>29</v>
      </c>
      <c r="B91" t="s">
        <v>30</v>
      </c>
      <c r="C91" t="s">
        <v>279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</row>
    <row r="92" spans="1:15" x14ac:dyDescent="0.3">
      <c r="A92" t="s">
        <v>29</v>
      </c>
      <c r="B92" t="s">
        <v>30</v>
      </c>
      <c r="C92" t="s">
        <v>273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</row>
    <row r="93" spans="1:15" hidden="1" x14ac:dyDescent="0.3">
      <c r="A93" t="s">
        <v>29</v>
      </c>
      <c r="B93" t="s">
        <v>30</v>
      </c>
      <c r="C93" t="s">
        <v>282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</row>
    <row r="94" spans="1:15" x14ac:dyDescent="0.3">
      <c r="A94" t="s">
        <v>29</v>
      </c>
      <c r="B94" t="s">
        <v>30</v>
      </c>
      <c r="C94" t="s">
        <v>274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</row>
    <row r="95" spans="1:15" x14ac:dyDescent="0.3">
      <c r="A95" t="s">
        <v>29</v>
      </c>
      <c r="B95" t="s">
        <v>30</v>
      </c>
      <c r="C95" t="s">
        <v>275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</row>
    <row r="96" spans="1:15" hidden="1" x14ac:dyDescent="0.3">
      <c r="A96" t="s">
        <v>29</v>
      </c>
      <c r="B96" t="s">
        <v>30</v>
      </c>
      <c r="C96" t="s">
        <v>277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</row>
    <row r="97" spans="1:15" x14ac:dyDescent="0.3">
      <c r="A97" t="s">
        <v>29</v>
      </c>
      <c r="B97" t="s">
        <v>30</v>
      </c>
      <c r="C97" t="s">
        <v>276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</row>
    <row r="98" spans="1:15" x14ac:dyDescent="0.3">
      <c r="A98" t="s">
        <v>29</v>
      </c>
      <c r="B98" t="s">
        <v>30</v>
      </c>
      <c r="C98" t="s">
        <v>281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</row>
    <row r="99" spans="1:15" x14ac:dyDescent="0.3">
      <c r="A99" t="s">
        <v>29</v>
      </c>
      <c r="B99" t="s">
        <v>30</v>
      </c>
      <c r="C99" t="s">
        <v>280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</row>
    <row r="100" spans="1:15" x14ac:dyDescent="0.3">
      <c r="A100" t="s">
        <v>29</v>
      </c>
      <c r="B100" t="s">
        <v>30</v>
      </c>
      <c r="C100" t="s">
        <v>284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</row>
    <row r="101" spans="1:15" x14ac:dyDescent="0.3">
      <c r="A101" t="s">
        <v>33</v>
      </c>
      <c r="B101" t="s">
        <v>34</v>
      </c>
      <c r="C101" t="s">
        <v>278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</row>
    <row r="102" spans="1:15" x14ac:dyDescent="0.3">
      <c r="A102" t="s">
        <v>33</v>
      </c>
      <c r="B102" t="s">
        <v>34</v>
      </c>
      <c r="C102" t="s">
        <v>279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</row>
    <row r="103" spans="1:15" x14ac:dyDescent="0.3">
      <c r="A103" t="s">
        <v>33</v>
      </c>
      <c r="B103" t="s">
        <v>34</v>
      </c>
      <c r="C103" t="s">
        <v>273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 hidden="1" x14ac:dyDescent="0.3">
      <c r="A104" t="s">
        <v>33</v>
      </c>
      <c r="B104" t="s">
        <v>34</v>
      </c>
      <c r="C104" t="s">
        <v>282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</row>
    <row r="105" spans="1:15" x14ac:dyDescent="0.3">
      <c r="A105" t="s">
        <v>33</v>
      </c>
      <c r="B105" t="s">
        <v>34</v>
      </c>
      <c r="C105" t="s">
        <v>274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</row>
    <row r="106" spans="1:15" x14ac:dyDescent="0.3">
      <c r="A106" t="s">
        <v>33</v>
      </c>
      <c r="B106" t="s">
        <v>34</v>
      </c>
      <c r="C106" t="s">
        <v>275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</row>
    <row r="107" spans="1:15" hidden="1" x14ac:dyDescent="0.3">
      <c r="A107" t="s">
        <v>33</v>
      </c>
      <c r="B107" t="s">
        <v>34</v>
      </c>
      <c r="C107" t="s">
        <v>277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</row>
    <row r="108" spans="1:15" x14ac:dyDescent="0.3">
      <c r="A108" t="s">
        <v>33</v>
      </c>
      <c r="B108" t="s">
        <v>34</v>
      </c>
      <c r="C108" t="s">
        <v>276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</row>
    <row r="109" spans="1:15" x14ac:dyDescent="0.3">
      <c r="A109" t="s">
        <v>33</v>
      </c>
      <c r="B109" t="s">
        <v>34</v>
      </c>
      <c r="C109" t="s">
        <v>281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</row>
    <row r="110" spans="1:15" x14ac:dyDescent="0.3">
      <c r="A110" t="s">
        <v>33</v>
      </c>
      <c r="B110" t="s">
        <v>34</v>
      </c>
      <c r="C110" t="s">
        <v>280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</row>
    <row r="111" spans="1:15" x14ac:dyDescent="0.3">
      <c r="A111" t="s">
        <v>33</v>
      </c>
      <c r="B111" t="s">
        <v>34</v>
      </c>
      <c r="C111" t="s">
        <v>284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</row>
    <row r="112" spans="1:15" x14ac:dyDescent="0.3">
      <c r="A112" t="s">
        <v>37</v>
      </c>
      <c r="B112" t="s">
        <v>38</v>
      </c>
      <c r="C112" t="s">
        <v>278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</row>
    <row r="113" spans="1:15" x14ac:dyDescent="0.3">
      <c r="A113" t="s">
        <v>37</v>
      </c>
      <c r="B113" t="s">
        <v>38</v>
      </c>
      <c r="C113" t="s">
        <v>279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</row>
    <row r="114" spans="1:15" x14ac:dyDescent="0.3">
      <c r="A114" t="s">
        <v>37</v>
      </c>
      <c r="B114" t="s">
        <v>38</v>
      </c>
      <c r="C114" t="s">
        <v>273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</row>
    <row r="115" spans="1:15" hidden="1" x14ac:dyDescent="0.3">
      <c r="A115" t="s">
        <v>37</v>
      </c>
      <c r="B115" t="s">
        <v>38</v>
      </c>
      <c r="C115" t="s">
        <v>282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</row>
    <row r="116" spans="1:15" x14ac:dyDescent="0.3">
      <c r="A116" t="s">
        <v>37</v>
      </c>
      <c r="B116" t="s">
        <v>38</v>
      </c>
      <c r="C116" t="s">
        <v>274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</row>
    <row r="117" spans="1:15" x14ac:dyDescent="0.3">
      <c r="A117" t="s">
        <v>37</v>
      </c>
      <c r="B117" t="s">
        <v>38</v>
      </c>
      <c r="C117" t="s">
        <v>275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</row>
    <row r="118" spans="1:15" hidden="1" x14ac:dyDescent="0.3">
      <c r="A118" t="s">
        <v>37</v>
      </c>
      <c r="B118" t="s">
        <v>38</v>
      </c>
      <c r="C118" t="s">
        <v>277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</row>
    <row r="119" spans="1:15" x14ac:dyDescent="0.3">
      <c r="A119" t="s">
        <v>37</v>
      </c>
      <c r="B119" t="s">
        <v>38</v>
      </c>
      <c r="C119" t="s">
        <v>276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</row>
    <row r="120" spans="1:15" x14ac:dyDescent="0.3">
      <c r="A120" t="s">
        <v>37</v>
      </c>
      <c r="B120" t="s">
        <v>38</v>
      </c>
      <c r="C120" t="s">
        <v>281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</row>
    <row r="121" spans="1:15" x14ac:dyDescent="0.3">
      <c r="A121" t="s">
        <v>37</v>
      </c>
      <c r="B121" t="s">
        <v>38</v>
      </c>
      <c r="C121" t="s">
        <v>280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</row>
    <row r="122" spans="1:15" x14ac:dyDescent="0.3">
      <c r="A122" t="s">
        <v>37</v>
      </c>
      <c r="B122" t="s">
        <v>38</v>
      </c>
      <c r="C122" t="s">
        <v>284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</row>
    <row r="123" spans="1:15" x14ac:dyDescent="0.3">
      <c r="A123" t="s">
        <v>39</v>
      </c>
      <c r="B123" t="s">
        <v>40</v>
      </c>
      <c r="C123" t="s">
        <v>278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</row>
    <row r="124" spans="1:15" x14ac:dyDescent="0.3">
      <c r="A124" t="s">
        <v>39</v>
      </c>
      <c r="B124" t="s">
        <v>40</v>
      </c>
      <c r="C124" t="s">
        <v>279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</row>
    <row r="125" spans="1:15" x14ac:dyDescent="0.3">
      <c r="A125" t="s">
        <v>39</v>
      </c>
      <c r="B125" t="s">
        <v>40</v>
      </c>
      <c r="C125" t="s">
        <v>273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</row>
    <row r="126" spans="1:15" hidden="1" x14ac:dyDescent="0.3">
      <c r="A126" t="s">
        <v>39</v>
      </c>
      <c r="B126" t="s">
        <v>40</v>
      </c>
      <c r="C126" t="s">
        <v>282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</row>
    <row r="127" spans="1:15" x14ac:dyDescent="0.3">
      <c r="A127" t="s">
        <v>39</v>
      </c>
      <c r="B127" t="s">
        <v>40</v>
      </c>
      <c r="C127" t="s">
        <v>274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</row>
    <row r="128" spans="1:15" x14ac:dyDescent="0.3">
      <c r="A128" t="s">
        <v>39</v>
      </c>
      <c r="B128" t="s">
        <v>40</v>
      </c>
      <c r="C128" t="s">
        <v>275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</row>
    <row r="129" spans="1:15" hidden="1" x14ac:dyDescent="0.3">
      <c r="A129" t="s">
        <v>39</v>
      </c>
      <c r="B129" t="s">
        <v>40</v>
      </c>
      <c r="C129" t="s">
        <v>277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</row>
    <row r="130" spans="1:15" x14ac:dyDescent="0.3">
      <c r="A130" t="s">
        <v>39</v>
      </c>
      <c r="B130" t="s">
        <v>40</v>
      </c>
      <c r="C130" t="s">
        <v>276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</row>
    <row r="131" spans="1:15" x14ac:dyDescent="0.3">
      <c r="A131" t="s">
        <v>39</v>
      </c>
      <c r="B131" t="s">
        <v>40</v>
      </c>
      <c r="C131" t="s">
        <v>281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</row>
    <row r="132" spans="1:15" x14ac:dyDescent="0.3">
      <c r="A132" t="s">
        <v>39</v>
      </c>
      <c r="B132" t="s">
        <v>40</v>
      </c>
      <c r="C132" t="s">
        <v>280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</row>
    <row r="133" spans="1:15" x14ac:dyDescent="0.3">
      <c r="A133" t="s">
        <v>39</v>
      </c>
      <c r="B133" t="s">
        <v>40</v>
      </c>
      <c r="C133" t="s">
        <v>284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</row>
    <row r="134" spans="1:15" x14ac:dyDescent="0.3">
      <c r="A134" t="s">
        <v>41</v>
      </c>
      <c r="B134" t="s">
        <v>42</v>
      </c>
      <c r="C134" t="s">
        <v>278</v>
      </c>
      <c r="D134" s="15">
        <v>31638</v>
      </c>
      <c r="E134" s="15">
        <v>27489</v>
      </c>
      <c r="F134" s="15">
        <v>23686</v>
      </c>
      <c r="G134" s="15">
        <v>19824</v>
      </c>
      <c r="H134" s="15">
        <v>16666</v>
      </c>
      <c r="I134" s="15">
        <v>13777</v>
      </c>
      <c r="J134">
        <v>12100</v>
      </c>
      <c r="K134">
        <v>10421</v>
      </c>
      <c r="L134">
        <v>9829</v>
      </c>
      <c r="M134">
        <v>8151</v>
      </c>
      <c r="N134">
        <v>1</v>
      </c>
      <c r="O134">
        <v>1</v>
      </c>
    </row>
    <row r="135" spans="1:15" x14ac:dyDescent="0.3">
      <c r="A135" t="s">
        <v>41</v>
      </c>
      <c r="B135" t="s">
        <v>42</v>
      </c>
      <c r="C135" t="s">
        <v>279</v>
      </c>
      <c r="D135" s="15">
        <v>27489</v>
      </c>
      <c r="E135" s="15">
        <v>23686</v>
      </c>
      <c r="F135" s="15">
        <v>19824</v>
      </c>
      <c r="G135" s="15">
        <v>16666</v>
      </c>
      <c r="H135" s="15">
        <v>13777</v>
      </c>
      <c r="I135">
        <v>12100</v>
      </c>
      <c r="J135">
        <v>10421</v>
      </c>
      <c r="K135">
        <v>9829</v>
      </c>
      <c r="L135">
        <v>8151</v>
      </c>
      <c r="M135">
        <v>5399</v>
      </c>
      <c r="N135">
        <v>1</v>
      </c>
      <c r="O135">
        <v>1</v>
      </c>
    </row>
    <row r="136" spans="1:15" x14ac:dyDescent="0.3">
      <c r="A136" t="s">
        <v>41</v>
      </c>
      <c r="B136" t="s">
        <v>42</v>
      </c>
      <c r="C136" t="s">
        <v>273</v>
      </c>
      <c r="D136" s="15">
        <v>4149</v>
      </c>
      <c r="E136" s="15">
        <v>3803</v>
      </c>
      <c r="F136" s="15">
        <v>3862</v>
      </c>
      <c r="G136" s="15">
        <v>3158</v>
      </c>
      <c r="H136" s="15">
        <v>2889</v>
      </c>
      <c r="I136">
        <v>1677</v>
      </c>
      <c r="J136">
        <v>1679</v>
      </c>
      <c r="K136">
        <v>592</v>
      </c>
      <c r="L136">
        <v>1678</v>
      </c>
      <c r="M136">
        <v>2752</v>
      </c>
      <c r="N136">
        <v>1</v>
      </c>
      <c r="O136">
        <v>1</v>
      </c>
    </row>
    <row r="137" spans="1:15" hidden="1" x14ac:dyDescent="0.3">
      <c r="A137" t="s">
        <v>41</v>
      </c>
      <c r="B137" t="s">
        <v>42</v>
      </c>
      <c r="C137" t="s">
        <v>282</v>
      </c>
      <c r="D137">
        <v>82799</v>
      </c>
      <c r="E137">
        <v>61602</v>
      </c>
      <c r="F137" s="15">
        <v>61602</v>
      </c>
      <c r="G137" s="15">
        <v>49540</v>
      </c>
      <c r="H137" s="15">
        <v>61033</v>
      </c>
      <c r="I137">
        <v>50381</v>
      </c>
      <c r="J137">
        <v>29613</v>
      </c>
      <c r="K137">
        <v>0</v>
      </c>
      <c r="L137">
        <v>0</v>
      </c>
      <c r="M137">
        <v>0</v>
      </c>
      <c r="N137">
        <v>1</v>
      </c>
      <c r="O137">
        <v>1</v>
      </c>
    </row>
    <row r="138" spans="1:15" x14ac:dyDescent="0.3">
      <c r="A138" t="s">
        <v>41</v>
      </c>
      <c r="B138" t="s">
        <v>42</v>
      </c>
      <c r="C138" t="s">
        <v>274</v>
      </c>
      <c r="D138" s="15">
        <v>638041</v>
      </c>
      <c r="E138" s="15">
        <v>624217</v>
      </c>
      <c r="F138" s="15">
        <v>624217</v>
      </c>
      <c r="G138" s="15">
        <v>409789</v>
      </c>
      <c r="H138" s="15">
        <v>409789</v>
      </c>
      <c r="I138">
        <v>373270</v>
      </c>
      <c r="J138">
        <v>373270</v>
      </c>
      <c r="K138">
        <v>373270</v>
      </c>
      <c r="L138">
        <v>373270</v>
      </c>
      <c r="M138">
        <v>373270</v>
      </c>
      <c r="N138">
        <v>1</v>
      </c>
      <c r="O138">
        <v>1</v>
      </c>
    </row>
    <row r="139" spans="1:15" x14ac:dyDescent="0.3">
      <c r="A139" t="s">
        <v>41</v>
      </c>
      <c r="B139" t="s">
        <v>42</v>
      </c>
      <c r="C139" t="s">
        <v>275</v>
      </c>
      <c r="D139" s="15">
        <v>624217</v>
      </c>
      <c r="E139" s="15">
        <v>624217</v>
      </c>
      <c r="F139" s="15">
        <v>409789</v>
      </c>
      <c r="G139" s="15">
        <v>409789</v>
      </c>
      <c r="H139" s="15">
        <v>373270</v>
      </c>
      <c r="I139">
        <v>373270</v>
      </c>
      <c r="J139">
        <v>373270</v>
      </c>
      <c r="K139">
        <v>373270</v>
      </c>
      <c r="L139">
        <v>373270</v>
      </c>
      <c r="M139">
        <v>348270</v>
      </c>
      <c r="N139">
        <v>1</v>
      </c>
      <c r="O139">
        <v>1</v>
      </c>
    </row>
    <row r="140" spans="1:15" hidden="1" x14ac:dyDescent="0.3">
      <c r="A140" t="s">
        <v>41</v>
      </c>
      <c r="B140" t="s">
        <v>42</v>
      </c>
      <c r="C140" t="s">
        <v>277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</v>
      </c>
      <c r="O140">
        <v>1</v>
      </c>
    </row>
    <row r="141" spans="1:15" x14ac:dyDescent="0.3">
      <c r="A141" t="s">
        <v>41</v>
      </c>
      <c r="B141" t="s">
        <v>42</v>
      </c>
      <c r="C141" t="s">
        <v>276</v>
      </c>
      <c r="D141" s="15">
        <v>13824</v>
      </c>
      <c r="E141">
        <v>0</v>
      </c>
      <c r="F141" s="15">
        <v>214428</v>
      </c>
      <c r="G141">
        <v>0</v>
      </c>
      <c r="H141" s="15">
        <v>36519</v>
      </c>
      <c r="I141">
        <v>0</v>
      </c>
      <c r="J141">
        <v>0</v>
      </c>
      <c r="K141">
        <v>0</v>
      </c>
      <c r="L141">
        <v>0</v>
      </c>
      <c r="M141">
        <v>25000</v>
      </c>
      <c r="N141">
        <v>1</v>
      </c>
      <c r="O141">
        <v>1</v>
      </c>
    </row>
    <row r="142" spans="1:15" x14ac:dyDescent="0.3">
      <c r="A142" t="s">
        <v>41</v>
      </c>
      <c r="B142" t="s">
        <v>42</v>
      </c>
      <c r="C142" t="s">
        <v>281</v>
      </c>
      <c r="D142" s="15">
        <v>606403</v>
      </c>
      <c r="E142" s="15">
        <v>596728</v>
      </c>
      <c r="F142" s="15">
        <v>600531</v>
      </c>
      <c r="G142" s="15">
        <v>389965</v>
      </c>
      <c r="H142" s="15">
        <v>393123</v>
      </c>
      <c r="I142">
        <v>359493</v>
      </c>
      <c r="J142">
        <v>361170</v>
      </c>
      <c r="K142">
        <v>362849</v>
      </c>
      <c r="L142">
        <v>363441</v>
      </c>
      <c r="M142">
        <v>365119</v>
      </c>
      <c r="N142">
        <v>1</v>
      </c>
      <c r="O142">
        <v>1</v>
      </c>
    </row>
    <row r="143" spans="1:15" x14ac:dyDescent="0.3">
      <c r="A143" t="s">
        <v>41</v>
      </c>
      <c r="B143" t="s">
        <v>42</v>
      </c>
      <c r="C143" t="s">
        <v>280</v>
      </c>
      <c r="D143" s="15">
        <v>596728</v>
      </c>
      <c r="E143" s="15">
        <v>600531</v>
      </c>
      <c r="F143" s="15">
        <v>389965</v>
      </c>
      <c r="G143" s="15">
        <v>393123</v>
      </c>
      <c r="H143" s="15">
        <v>359493</v>
      </c>
      <c r="I143">
        <v>361170</v>
      </c>
      <c r="J143">
        <v>362849</v>
      </c>
      <c r="K143">
        <v>363441</v>
      </c>
      <c r="L143">
        <v>365119</v>
      </c>
      <c r="M143">
        <v>342871</v>
      </c>
      <c r="N143">
        <v>1</v>
      </c>
      <c r="O143">
        <v>1</v>
      </c>
    </row>
    <row r="144" spans="1:15" x14ac:dyDescent="0.3">
      <c r="A144" t="s">
        <v>41</v>
      </c>
      <c r="B144" t="s">
        <v>42</v>
      </c>
      <c r="C144" t="s">
        <v>284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1</v>
      </c>
      <c r="O144">
        <v>1</v>
      </c>
    </row>
    <row r="145" spans="1:15" x14ac:dyDescent="0.3">
      <c r="A145" t="s">
        <v>43</v>
      </c>
      <c r="B145" t="s">
        <v>44</v>
      </c>
      <c r="C145" t="s">
        <v>278</v>
      </c>
      <c r="D145">
        <v>280250</v>
      </c>
      <c r="E145">
        <v>259380</v>
      </c>
      <c r="F145">
        <v>238703</v>
      </c>
      <c r="G145">
        <v>218797</v>
      </c>
      <c r="H145">
        <v>208178</v>
      </c>
      <c r="I145">
        <v>181857</v>
      </c>
      <c r="J145">
        <v>160825</v>
      </c>
      <c r="K145">
        <v>141870</v>
      </c>
      <c r="L145">
        <v>123266</v>
      </c>
      <c r="M145">
        <v>105223</v>
      </c>
      <c r="N145">
        <v>87506</v>
      </c>
      <c r="O145">
        <v>70038</v>
      </c>
    </row>
    <row r="146" spans="1:15" x14ac:dyDescent="0.3">
      <c r="A146" t="s">
        <v>43</v>
      </c>
      <c r="B146" t="s">
        <v>44</v>
      </c>
      <c r="C146" t="s">
        <v>279</v>
      </c>
      <c r="D146">
        <v>259380</v>
      </c>
      <c r="E146">
        <v>238703</v>
      </c>
      <c r="F146">
        <v>218797</v>
      </c>
      <c r="G146">
        <v>208178</v>
      </c>
      <c r="H146">
        <v>181857</v>
      </c>
      <c r="I146">
        <v>160825</v>
      </c>
      <c r="J146">
        <v>141870</v>
      </c>
      <c r="K146">
        <v>123266</v>
      </c>
      <c r="L146">
        <v>105223</v>
      </c>
      <c r="M146">
        <v>87506</v>
      </c>
      <c r="N146">
        <v>70038</v>
      </c>
      <c r="O146">
        <v>52722</v>
      </c>
    </row>
    <row r="147" spans="1:15" x14ac:dyDescent="0.3">
      <c r="A147" t="s">
        <v>43</v>
      </c>
      <c r="B147" t="s">
        <v>44</v>
      </c>
      <c r="C147" t="s">
        <v>273</v>
      </c>
      <c r="D147">
        <v>20870</v>
      </c>
      <c r="E147">
        <v>20677</v>
      </c>
      <c r="F147">
        <v>19906</v>
      </c>
      <c r="G147">
        <v>10619</v>
      </c>
      <c r="H147">
        <v>26321</v>
      </c>
      <c r="I147">
        <v>21032</v>
      </c>
      <c r="J147">
        <v>18955</v>
      </c>
      <c r="K147">
        <v>18604</v>
      </c>
      <c r="L147">
        <v>18043</v>
      </c>
      <c r="M147">
        <v>17717</v>
      </c>
      <c r="N147">
        <v>17468</v>
      </c>
      <c r="O147">
        <v>17316</v>
      </c>
    </row>
    <row r="148" spans="1:15" hidden="1" x14ac:dyDescent="0.3">
      <c r="A148" t="s">
        <v>43</v>
      </c>
      <c r="B148" t="s">
        <v>44</v>
      </c>
      <c r="C148" t="s">
        <v>282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</row>
    <row r="149" spans="1:15" x14ac:dyDescent="0.3">
      <c r="A149" t="s">
        <v>43</v>
      </c>
      <c r="B149" t="s">
        <v>44</v>
      </c>
      <c r="C149" t="s">
        <v>274</v>
      </c>
      <c r="D149">
        <v>1185389</v>
      </c>
      <c r="E149">
        <v>1153177</v>
      </c>
      <c r="F149">
        <v>1153177</v>
      </c>
      <c r="G149">
        <v>1102024</v>
      </c>
      <c r="H149">
        <v>1102024</v>
      </c>
      <c r="I149">
        <v>1102024</v>
      </c>
      <c r="J149">
        <v>1102024</v>
      </c>
      <c r="K149">
        <v>1075116</v>
      </c>
      <c r="L149">
        <v>980764</v>
      </c>
      <c r="M149">
        <v>964940</v>
      </c>
      <c r="N149">
        <v>933908</v>
      </c>
      <c r="O149">
        <v>914588</v>
      </c>
    </row>
    <row r="150" spans="1:15" x14ac:dyDescent="0.3">
      <c r="A150" t="s">
        <v>43</v>
      </c>
      <c r="B150" t="s">
        <v>44</v>
      </c>
      <c r="C150" t="s">
        <v>275</v>
      </c>
      <c r="D150">
        <v>1153177</v>
      </c>
      <c r="E150">
        <v>1153177</v>
      </c>
      <c r="F150">
        <v>1102024</v>
      </c>
      <c r="G150">
        <v>1102024</v>
      </c>
      <c r="H150">
        <v>1102024</v>
      </c>
      <c r="I150">
        <v>1102024</v>
      </c>
      <c r="J150">
        <v>1075116</v>
      </c>
      <c r="K150">
        <v>980764</v>
      </c>
      <c r="L150">
        <v>964940</v>
      </c>
      <c r="M150">
        <v>933908</v>
      </c>
      <c r="N150">
        <v>914588</v>
      </c>
      <c r="O150">
        <v>871453</v>
      </c>
    </row>
    <row r="151" spans="1:15" hidden="1" x14ac:dyDescent="0.3">
      <c r="A151" t="s">
        <v>43</v>
      </c>
      <c r="B151" t="s">
        <v>44</v>
      </c>
      <c r="C151" t="s">
        <v>277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</row>
    <row r="152" spans="1:15" x14ac:dyDescent="0.3">
      <c r="A152" t="s">
        <v>43</v>
      </c>
      <c r="B152" t="s">
        <v>44</v>
      </c>
      <c r="C152" t="s">
        <v>276</v>
      </c>
      <c r="D152">
        <v>32212</v>
      </c>
      <c r="E152">
        <v>0</v>
      </c>
      <c r="F152">
        <v>51153</v>
      </c>
      <c r="G152">
        <v>0</v>
      </c>
      <c r="H152">
        <v>0</v>
      </c>
      <c r="I152">
        <v>0</v>
      </c>
      <c r="J152">
        <v>26908</v>
      </c>
      <c r="K152">
        <v>94352</v>
      </c>
      <c r="L152">
        <v>15824</v>
      </c>
      <c r="M152">
        <v>31032</v>
      </c>
      <c r="N152">
        <v>19320</v>
      </c>
      <c r="O152">
        <v>43135</v>
      </c>
    </row>
    <row r="153" spans="1:15" x14ac:dyDescent="0.3">
      <c r="A153" t="s">
        <v>43</v>
      </c>
      <c r="B153" t="s">
        <v>44</v>
      </c>
      <c r="C153" t="s">
        <v>281</v>
      </c>
      <c r="D153">
        <v>905139</v>
      </c>
      <c r="E153">
        <v>893797</v>
      </c>
      <c r="F153">
        <v>914474</v>
      </c>
      <c r="G153">
        <v>883227</v>
      </c>
      <c r="H153">
        <v>893846</v>
      </c>
      <c r="I153">
        <v>920167</v>
      </c>
      <c r="J153">
        <v>941199</v>
      </c>
      <c r="K153">
        <v>933246</v>
      </c>
      <c r="L153">
        <v>857498</v>
      </c>
      <c r="M153">
        <v>859717</v>
      </c>
      <c r="N153">
        <v>846402</v>
      </c>
      <c r="O153">
        <v>844550</v>
      </c>
    </row>
    <row r="154" spans="1:15" x14ac:dyDescent="0.3">
      <c r="A154" t="s">
        <v>43</v>
      </c>
      <c r="B154" t="s">
        <v>44</v>
      </c>
      <c r="C154" t="s">
        <v>280</v>
      </c>
      <c r="D154">
        <v>893797</v>
      </c>
      <c r="E154">
        <v>914474</v>
      </c>
      <c r="F154">
        <v>883227</v>
      </c>
      <c r="G154">
        <v>893846</v>
      </c>
      <c r="H154">
        <v>920167</v>
      </c>
      <c r="I154">
        <v>941199</v>
      </c>
      <c r="J154">
        <v>933246</v>
      </c>
      <c r="K154">
        <v>857498</v>
      </c>
      <c r="L154">
        <v>859717</v>
      </c>
      <c r="M154">
        <v>846402</v>
      </c>
      <c r="N154">
        <v>844550</v>
      </c>
      <c r="O154">
        <v>818731</v>
      </c>
    </row>
    <row r="155" spans="1:15" x14ac:dyDescent="0.3">
      <c r="A155" t="s">
        <v>43</v>
      </c>
      <c r="B155" t="s">
        <v>44</v>
      </c>
      <c r="C155" t="s">
        <v>284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</row>
    <row r="156" spans="1:15" x14ac:dyDescent="0.3">
      <c r="A156" t="s">
        <v>47</v>
      </c>
      <c r="B156" t="s">
        <v>48</v>
      </c>
      <c r="C156" t="s">
        <v>278</v>
      </c>
      <c r="D156">
        <v>1882</v>
      </c>
      <c r="E156">
        <v>909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6785</v>
      </c>
      <c r="N156">
        <v>5619</v>
      </c>
      <c r="O156">
        <v>1</v>
      </c>
    </row>
    <row r="157" spans="1:15" x14ac:dyDescent="0.3">
      <c r="A157" t="s">
        <v>47</v>
      </c>
      <c r="B157" t="s">
        <v>48</v>
      </c>
      <c r="C157" t="s">
        <v>279</v>
      </c>
      <c r="D157">
        <v>909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6785</v>
      </c>
      <c r="M157">
        <v>5619</v>
      </c>
      <c r="N157">
        <v>4453</v>
      </c>
      <c r="O157">
        <v>1</v>
      </c>
    </row>
    <row r="158" spans="1:15" x14ac:dyDescent="0.3">
      <c r="A158" t="s">
        <v>47</v>
      </c>
      <c r="B158" t="s">
        <v>48</v>
      </c>
      <c r="C158" t="s">
        <v>273</v>
      </c>
      <c r="D158">
        <v>973</v>
      </c>
      <c r="E158">
        <v>909</v>
      </c>
      <c r="F158">
        <v>0</v>
      </c>
      <c r="G158">
        <v>0</v>
      </c>
      <c r="H158">
        <v>0</v>
      </c>
      <c r="I158">
        <v>0</v>
      </c>
      <c r="J158">
        <v>590</v>
      </c>
      <c r="K158">
        <v>0</v>
      </c>
      <c r="L158">
        <v>1152</v>
      </c>
      <c r="M158">
        <v>1166</v>
      </c>
      <c r="N158">
        <v>1166</v>
      </c>
      <c r="O158">
        <v>1</v>
      </c>
    </row>
    <row r="159" spans="1:15" hidden="1" x14ac:dyDescent="0.3">
      <c r="A159" t="s">
        <v>47</v>
      </c>
      <c r="B159" t="s">
        <v>48</v>
      </c>
      <c r="C159" t="s">
        <v>282</v>
      </c>
      <c r="D159">
        <v>281235</v>
      </c>
      <c r="E159">
        <v>243025</v>
      </c>
      <c r="F159">
        <v>164409</v>
      </c>
      <c r="G159">
        <v>132192</v>
      </c>
      <c r="H159">
        <v>0</v>
      </c>
      <c r="I159">
        <v>101349</v>
      </c>
      <c r="J159">
        <v>0</v>
      </c>
      <c r="K159">
        <v>0</v>
      </c>
      <c r="L159">
        <v>80843</v>
      </c>
      <c r="M159">
        <v>79690</v>
      </c>
      <c r="N159">
        <v>0</v>
      </c>
      <c r="O159">
        <v>1</v>
      </c>
    </row>
    <row r="160" spans="1:15" x14ac:dyDescent="0.3">
      <c r="A160" t="s">
        <v>47</v>
      </c>
      <c r="B160" t="s">
        <v>48</v>
      </c>
      <c r="C160" t="s">
        <v>274</v>
      </c>
      <c r="D160">
        <v>69315</v>
      </c>
      <c r="E160">
        <v>69315</v>
      </c>
      <c r="F160">
        <v>52233</v>
      </c>
      <c r="G160">
        <v>52233</v>
      </c>
      <c r="H160">
        <v>52233</v>
      </c>
      <c r="I160">
        <v>52233</v>
      </c>
      <c r="J160">
        <v>52233</v>
      </c>
      <c r="K160">
        <v>52233</v>
      </c>
      <c r="L160">
        <v>70065</v>
      </c>
      <c r="M160">
        <v>143451</v>
      </c>
      <c r="N160">
        <v>230975</v>
      </c>
      <c r="O160">
        <v>1</v>
      </c>
    </row>
    <row r="161" spans="1:15" x14ac:dyDescent="0.3">
      <c r="A161" t="s">
        <v>47</v>
      </c>
      <c r="B161" t="s">
        <v>48</v>
      </c>
      <c r="C161" t="s">
        <v>275</v>
      </c>
      <c r="D161">
        <v>69315</v>
      </c>
      <c r="E161">
        <v>52233</v>
      </c>
      <c r="F161">
        <v>52233</v>
      </c>
      <c r="G161">
        <v>52233</v>
      </c>
      <c r="H161">
        <v>52233</v>
      </c>
      <c r="I161">
        <v>52233</v>
      </c>
      <c r="J161">
        <v>52233</v>
      </c>
      <c r="K161">
        <v>70065</v>
      </c>
      <c r="L161">
        <v>143451</v>
      </c>
      <c r="M161">
        <v>230975</v>
      </c>
      <c r="N161">
        <v>199255</v>
      </c>
      <c r="O161">
        <v>1</v>
      </c>
    </row>
    <row r="162" spans="1:15" hidden="1" x14ac:dyDescent="0.3">
      <c r="A162" t="s">
        <v>47</v>
      </c>
      <c r="B162" t="s">
        <v>48</v>
      </c>
      <c r="C162" t="s">
        <v>277</v>
      </c>
      <c r="D162">
        <v>0</v>
      </c>
      <c r="E162">
        <v>17292</v>
      </c>
      <c r="F162">
        <v>0</v>
      </c>
      <c r="G162">
        <v>0</v>
      </c>
      <c r="H162">
        <v>0</v>
      </c>
      <c r="I162">
        <v>0</v>
      </c>
      <c r="J162">
        <v>28722</v>
      </c>
      <c r="K162">
        <v>17832</v>
      </c>
      <c r="L162">
        <v>73386</v>
      </c>
      <c r="M162">
        <v>87524</v>
      </c>
      <c r="N162">
        <v>0</v>
      </c>
      <c r="O162">
        <v>1</v>
      </c>
    </row>
    <row r="163" spans="1:15" x14ac:dyDescent="0.3">
      <c r="A163" t="s">
        <v>47</v>
      </c>
      <c r="B163" t="s">
        <v>48</v>
      </c>
      <c r="C163" t="s">
        <v>276</v>
      </c>
      <c r="D163">
        <v>0</v>
      </c>
      <c r="E163">
        <v>34374</v>
      </c>
      <c r="F163">
        <v>0</v>
      </c>
      <c r="G163">
        <v>0</v>
      </c>
      <c r="H163">
        <v>0</v>
      </c>
      <c r="I163">
        <v>0</v>
      </c>
      <c r="J163">
        <v>28722</v>
      </c>
      <c r="K163">
        <v>0</v>
      </c>
      <c r="L163">
        <v>0</v>
      </c>
      <c r="M163">
        <v>0</v>
      </c>
      <c r="N163">
        <v>31720</v>
      </c>
      <c r="O163">
        <v>1</v>
      </c>
    </row>
    <row r="164" spans="1:15" x14ac:dyDescent="0.3">
      <c r="A164" t="s">
        <v>47</v>
      </c>
      <c r="B164" t="s">
        <v>48</v>
      </c>
      <c r="C164" t="s">
        <v>281</v>
      </c>
      <c r="D164">
        <v>67433</v>
      </c>
      <c r="E164">
        <v>68406</v>
      </c>
      <c r="F164">
        <v>52233</v>
      </c>
      <c r="G164">
        <v>52233</v>
      </c>
      <c r="H164">
        <v>52233</v>
      </c>
      <c r="I164">
        <v>52233</v>
      </c>
      <c r="J164">
        <v>52233</v>
      </c>
      <c r="K164">
        <v>52233</v>
      </c>
      <c r="L164">
        <v>70065</v>
      </c>
      <c r="M164">
        <v>136666</v>
      </c>
      <c r="N164">
        <v>225356</v>
      </c>
      <c r="O164">
        <v>1</v>
      </c>
    </row>
    <row r="165" spans="1:15" x14ac:dyDescent="0.3">
      <c r="A165" t="s">
        <v>47</v>
      </c>
      <c r="B165" t="s">
        <v>48</v>
      </c>
      <c r="C165" t="s">
        <v>280</v>
      </c>
      <c r="D165">
        <v>68406</v>
      </c>
      <c r="E165">
        <v>52233</v>
      </c>
      <c r="F165">
        <v>52233</v>
      </c>
      <c r="G165">
        <v>52233</v>
      </c>
      <c r="H165">
        <v>52233</v>
      </c>
      <c r="I165">
        <v>52233</v>
      </c>
      <c r="J165">
        <v>52233</v>
      </c>
      <c r="K165">
        <v>70065</v>
      </c>
      <c r="L165">
        <v>136666</v>
      </c>
      <c r="M165">
        <v>225356</v>
      </c>
      <c r="N165">
        <v>194802</v>
      </c>
      <c r="O165">
        <v>1</v>
      </c>
    </row>
    <row r="166" spans="1:15" x14ac:dyDescent="0.3">
      <c r="A166" t="s">
        <v>47</v>
      </c>
      <c r="B166" t="s">
        <v>48</v>
      </c>
      <c r="C166" t="s">
        <v>284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1</v>
      </c>
    </row>
    <row r="167" spans="1:15" x14ac:dyDescent="0.3">
      <c r="A167" t="s">
        <v>65</v>
      </c>
      <c r="B167" t="s">
        <v>66</v>
      </c>
      <c r="C167" t="s">
        <v>278</v>
      </c>
      <c r="D167">
        <v>23287</v>
      </c>
      <c r="E167">
        <v>16920</v>
      </c>
      <c r="F167">
        <v>10553</v>
      </c>
      <c r="G167">
        <v>4608</v>
      </c>
      <c r="H167">
        <v>3304</v>
      </c>
      <c r="I167">
        <v>2000</v>
      </c>
      <c r="J167">
        <v>1617</v>
      </c>
      <c r="K167">
        <v>1318</v>
      </c>
      <c r="L167">
        <v>595</v>
      </c>
      <c r="M167">
        <v>500</v>
      </c>
      <c r="N167">
        <v>405</v>
      </c>
      <c r="O167">
        <v>1</v>
      </c>
    </row>
    <row r="168" spans="1:15" x14ac:dyDescent="0.3">
      <c r="A168" t="s">
        <v>65</v>
      </c>
      <c r="B168" t="s">
        <v>66</v>
      </c>
      <c r="C168" t="s">
        <v>279</v>
      </c>
      <c r="D168">
        <v>16920</v>
      </c>
      <c r="E168">
        <v>10553</v>
      </c>
      <c r="F168">
        <v>4608</v>
      </c>
      <c r="G168">
        <v>3304</v>
      </c>
      <c r="H168">
        <v>2000</v>
      </c>
      <c r="I168">
        <v>1617</v>
      </c>
      <c r="J168">
        <v>1318</v>
      </c>
      <c r="K168">
        <v>595</v>
      </c>
      <c r="L168">
        <v>500</v>
      </c>
      <c r="M168">
        <v>405</v>
      </c>
      <c r="N168">
        <v>310</v>
      </c>
      <c r="O168">
        <v>1</v>
      </c>
    </row>
    <row r="169" spans="1:15" x14ac:dyDescent="0.3">
      <c r="A169" t="s">
        <v>65</v>
      </c>
      <c r="B169" t="s">
        <v>66</v>
      </c>
      <c r="C169" t="s">
        <v>273</v>
      </c>
      <c r="D169">
        <v>6367</v>
      </c>
      <c r="E169">
        <v>6367</v>
      </c>
      <c r="F169">
        <v>5945</v>
      </c>
      <c r="G169">
        <v>1304</v>
      </c>
      <c r="H169">
        <v>1304</v>
      </c>
      <c r="I169">
        <v>1795</v>
      </c>
      <c r="J169">
        <v>299</v>
      </c>
      <c r="K169">
        <v>723</v>
      </c>
      <c r="L169">
        <v>1</v>
      </c>
      <c r="M169">
        <v>95</v>
      </c>
      <c r="N169">
        <v>95</v>
      </c>
      <c r="O169">
        <v>1</v>
      </c>
    </row>
    <row r="170" spans="1:15" hidden="1" x14ac:dyDescent="0.3">
      <c r="A170" t="s">
        <v>65</v>
      </c>
      <c r="B170" t="s">
        <v>66</v>
      </c>
      <c r="C170" t="s">
        <v>282</v>
      </c>
      <c r="D170">
        <v>144011</v>
      </c>
      <c r="E170">
        <v>140415</v>
      </c>
      <c r="F170">
        <v>140415</v>
      </c>
      <c r="G170">
        <v>140937</v>
      </c>
      <c r="H170">
        <v>76461</v>
      </c>
      <c r="I170">
        <v>76461</v>
      </c>
      <c r="J170">
        <v>73781</v>
      </c>
      <c r="K170">
        <v>73781</v>
      </c>
      <c r="L170">
        <v>1</v>
      </c>
      <c r="M170">
        <v>5471</v>
      </c>
      <c r="N170">
        <v>4151</v>
      </c>
      <c r="O170">
        <v>1</v>
      </c>
    </row>
    <row r="171" spans="1:15" x14ac:dyDescent="0.3">
      <c r="A171" t="s">
        <v>65</v>
      </c>
      <c r="B171" t="s">
        <v>66</v>
      </c>
      <c r="C171" t="s">
        <v>274</v>
      </c>
      <c r="D171">
        <v>561965</v>
      </c>
      <c r="E171">
        <v>561965</v>
      </c>
      <c r="F171">
        <v>561965</v>
      </c>
      <c r="G171">
        <v>401166</v>
      </c>
      <c r="H171">
        <v>401166</v>
      </c>
      <c r="I171">
        <v>401166</v>
      </c>
      <c r="J171">
        <v>367968</v>
      </c>
      <c r="K171">
        <v>371128</v>
      </c>
      <c r="L171">
        <v>371128</v>
      </c>
      <c r="M171">
        <v>373951</v>
      </c>
      <c r="N171">
        <v>374463</v>
      </c>
      <c r="O171">
        <v>1</v>
      </c>
    </row>
    <row r="172" spans="1:15" x14ac:dyDescent="0.3">
      <c r="A172" t="s">
        <v>65</v>
      </c>
      <c r="B172" t="s">
        <v>66</v>
      </c>
      <c r="C172" t="s">
        <v>275</v>
      </c>
      <c r="D172">
        <v>561965</v>
      </c>
      <c r="E172">
        <v>561965</v>
      </c>
      <c r="F172">
        <v>401166</v>
      </c>
      <c r="G172">
        <v>401166</v>
      </c>
      <c r="H172">
        <v>401166</v>
      </c>
      <c r="I172">
        <v>367968</v>
      </c>
      <c r="J172">
        <v>371128</v>
      </c>
      <c r="K172">
        <v>371128</v>
      </c>
      <c r="L172">
        <v>373951</v>
      </c>
      <c r="M172">
        <v>374463</v>
      </c>
      <c r="N172">
        <v>420454</v>
      </c>
      <c r="O172">
        <v>1</v>
      </c>
    </row>
    <row r="173" spans="1:15" hidden="1" x14ac:dyDescent="0.3">
      <c r="A173" t="s">
        <v>65</v>
      </c>
      <c r="B173" t="s">
        <v>66</v>
      </c>
      <c r="C173" t="s">
        <v>277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144728</v>
      </c>
      <c r="J173">
        <v>3160</v>
      </c>
      <c r="K173">
        <v>0</v>
      </c>
      <c r="L173">
        <v>1</v>
      </c>
      <c r="M173">
        <v>11899</v>
      </c>
      <c r="N173">
        <v>86440</v>
      </c>
      <c r="O173">
        <v>1</v>
      </c>
    </row>
    <row r="174" spans="1:15" x14ac:dyDescent="0.3">
      <c r="A174" t="s">
        <v>65</v>
      </c>
      <c r="B174" t="s">
        <v>66</v>
      </c>
      <c r="C174" t="s">
        <v>276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21</v>
      </c>
      <c r="J174">
        <v>0</v>
      </c>
      <c r="K174">
        <v>0</v>
      </c>
      <c r="L174">
        <v>1</v>
      </c>
      <c r="M174">
        <v>11387</v>
      </c>
      <c r="N174">
        <v>40449</v>
      </c>
      <c r="O174">
        <v>1</v>
      </c>
    </row>
    <row r="175" spans="1:15" x14ac:dyDescent="0.3">
      <c r="A175" t="s">
        <v>65</v>
      </c>
      <c r="B175" t="s">
        <v>66</v>
      </c>
      <c r="C175" t="s">
        <v>281</v>
      </c>
      <c r="D175">
        <v>538678</v>
      </c>
      <c r="E175">
        <v>545045</v>
      </c>
      <c r="F175">
        <v>551412</v>
      </c>
      <c r="G175">
        <v>396558</v>
      </c>
      <c r="H175">
        <v>397862</v>
      </c>
      <c r="I175">
        <v>399166</v>
      </c>
      <c r="J175">
        <v>366351</v>
      </c>
      <c r="K175">
        <v>369810</v>
      </c>
      <c r="L175">
        <v>370533</v>
      </c>
      <c r="M175">
        <v>373451</v>
      </c>
      <c r="N175">
        <v>374058</v>
      </c>
      <c r="O175">
        <v>1</v>
      </c>
    </row>
    <row r="176" spans="1:15" x14ac:dyDescent="0.3">
      <c r="A176" t="s">
        <v>65</v>
      </c>
      <c r="B176" t="s">
        <v>66</v>
      </c>
      <c r="C176" t="s">
        <v>280</v>
      </c>
      <c r="D176">
        <v>545045</v>
      </c>
      <c r="E176">
        <v>551412</v>
      </c>
      <c r="F176">
        <v>396558</v>
      </c>
      <c r="G176">
        <v>397862</v>
      </c>
      <c r="H176">
        <v>399166</v>
      </c>
      <c r="I176">
        <v>366351</v>
      </c>
      <c r="J176">
        <v>369810</v>
      </c>
      <c r="K176">
        <v>370533</v>
      </c>
      <c r="L176">
        <v>373451</v>
      </c>
      <c r="M176">
        <v>374058</v>
      </c>
      <c r="N176">
        <v>420144</v>
      </c>
      <c r="O176">
        <v>1</v>
      </c>
    </row>
    <row r="177" spans="1:15" x14ac:dyDescent="0.3">
      <c r="A177" t="s">
        <v>65</v>
      </c>
      <c r="B177" t="s">
        <v>66</v>
      </c>
      <c r="C177" t="s">
        <v>284</v>
      </c>
      <c r="D177">
        <v>0</v>
      </c>
      <c r="E177">
        <v>0</v>
      </c>
      <c r="F177">
        <v>160799</v>
      </c>
      <c r="G177">
        <v>0</v>
      </c>
      <c r="H177">
        <v>0</v>
      </c>
      <c r="I177">
        <v>177905</v>
      </c>
      <c r="J177">
        <v>0</v>
      </c>
      <c r="K177">
        <v>0</v>
      </c>
      <c r="L177">
        <v>1</v>
      </c>
      <c r="M177">
        <v>0</v>
      </c>
      <c r="N177">
        <v>0</v>
      </c>
      <c r="O177">
        <v>1</v>
      </c>
    </row>
    <row r="178" spans="1:15" x14ac:dyDescent="0.3">
      <c r="A178" t="s">
        <v>71</v>
      </c>
      <c r="B178" t="s">
        <v>72</v>
      </c>
      <c r="C178" t="s">
        <v>278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231</v>
      </c>
      <c r="K178">
        <v>207</v>
      </c>
      <c r="L178">
        <v>184</v>
      </c>
      <c r="M178">
        <v>189</v>
      </c>
      <c r="N178">
        <v>151</v>
      </c>
      <c r="O178">
        <v>113</v>
      </c>
    </row>
    <row r="179" spans="1:15" x14ac:dyDescent="0.3">
      <c r="A179" t="s">
        <v>71</v>
      </c>
      <c r="B179" t="s">
        <v>72</v>
      </c>
      <c r="C179" t="s">
        <v>279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231</v>
      </c>
      <c r="J179">
        <v>207</v>
      </c>
      <c r="K179">
        <v>184</v>
      </c>
      <c r="L179">
        <v>189</v>
      </c>
      <c r="M179">
        <v>151</v>
      </c>
      <c r="N179">
        <v>113</v>
      </c>
      <c r="O179">
        <v>90</v>
      </c>
    </row>
    <row r="180" spans="1:15" x14ac:dyDescent="0.3">
      <c r="A180" t="s">
        <v>71</v>
      </c>
      <c r="B180" t="s">
        <v>72</v>
      </c>
      <c r="C180" t="s">
        <v>273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11</v>
      </c>
      <c r="J180">
        <v>24</v>
      </c>
      <c r="K180">
        <v>23</v>
      </c>
      <c r="L180">
        <v>38</v>
      </c>
      <c r="M180">
        <v>38</v>
      </c>
      <c r="N180">
        <v>38</v>
      </c>
      <c r="O180">
        <v>24</v>
      </c>
    </row>
    <row r="181" spans="1:15" hidden="1" x14ac:dyDescent="0.3">
      <c r="A181" t="s">
        <v>71</v>
      </c>
      <c r="B181" t="s">
        <v>72</v>
      </c>
      <c r="C181" t="s">
        <v>282</v>
      </c>
      <c r="D181">
        <v>22112</v>
      </c>
      <c r="E181">
        <v>97820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</row>
    <row r="182" spans="1:15" x14ac:dyDescent="0.3">
      <c r="A182" t="s">
        <v>71</v>
      </c>
      <c r="B182" t="s">
        <v>72</v>
      </c>
      <c r="C182" t="s">
        <v>274</v>
      </c>
      <c r="D182">
        <v>416098</v>
      </c>
      <c r="E182">
        <v>609010</v>
      </c>
      <c r="F182">
        <v>536147</v>
      </c>
      <c r="G182">
        <v>536147</v>
      </c>
      <c r="H182">
        <v>536147</v>
      </c>
      <c r="I182">
        <v>379918</v>
      </c>
      <c r="J182">
        <v>381138</v>
      </c>
      <c r="K182">
        <v>381138</v>
      </c>
      <c r="L182">
        <v>1032340</v>
      </c>
      <c r="M182">
        <v>914039</v>
      </c>
      <c r="N182">
        <v>913439</v>
      </c>
      <c r="O182">
        <v>913439</v>
      </c>
    </row>
    <row r="183" spans="1:15" x14ac:dyDescent="0.3">
      <c r="A183" t="s">
        <v>71</v>
      </c>
      <c r="B183" t="s">
        <v>72</v>
      </c>
      <c r="C183" t="s">
        <v>275</v>
      </c>
      <c r="D183">
        <v>609010</v>
      </c>
      <c r="E183">
        <v>536147</v>
      </c>
      <c r="F183">
        <v>536147</v>
      </c>
      <c r="G183">
        <v>536147</v>
      </c>
      <c r="H183">
        <v>379918</v>
      </c>
      <c r="I183">
        <v>381138</v>
      </c>
      <c r="J183">
        <v>381138</v>
      </c>
      <c r="K183">
        <v>1032340</v>
      </c>
      <c r="L183">
        <v>914039</v>
      </c>
      <c r="M183">
        <v>913439</v>
      </c>
      <c r="N183">
        <v>913439</v>
      </c>
      <c r="O183">
        <v>817015</v>
      </c>
    </row>
    <row r="184" spans="1:15" hidden="1" x14ac:dyDescent="0.3">
      <c r="A184" t="s">
        <v>71</v>
      </c>
      <c r="B184" t="s">
        <v>72</v>
      </c>
      <c r="C184" t="s">
        <v>277</v>
      </c>
      <c r="D184">
        <v>192912</v>
      </c>
      <c r="E184">
        <v>0</v>
      </c>
      <c r="F184">
        <v>0</v>
      </c>
      <c r="G184">
        <v>0</v>
      </c>
      <c r="H184">
        <v>0</v>
      </c>
      <c r="I184">
        <v>1220</v>
      </c>
      <c r="J184">
        <v>0</v>
      </c>
      <c r="K184">
        <v>651202</v>
      </c>
      <c r="L184">
        <v>1784</v>
      </c>
      <c r="M184">
        <v>0</v>
      </c>
      <c r="N184">
        <v>0</v>
      </c>
      <c r="O184">
        <v>19898</v>
      </c>
    </row>
    <row r="185" spans="1:15" x14ac:dyDescent="0.3">
      <c r="A185" t="s">
        <v>71</v>
      </c>
      <c r="B185" t="s">
        <v>72</v>
      </c>
      <c r="C185" t="s">
        <v>276</v>
      </c>
      <c r="D185">
        <v>0</v>
      </c>
      <c r="E185">
        <v>72863</v>
      </c>
      <c r="F185">
        <v>0</v>
      </c>
      <c r="G185">
        <v>0</v>
      </c>
      <c r="H185">
        <v>156229</v>
      </c>
      <c r="I185">
        <v>0</v>
      </c>
      <c r="J185">
        <v>0</v>
      </c>
      <c r="K185">
        <v>0</v>
      </c>
      <c r="L185">
        <v>120085</v>
      </c>
      <c r="M185">
        <v>600</v>
      </c>
      <c r="N185">
        <v>0</v>
      </c>
      <c r="O185">
        <v>116323</v>
      </c>
    </row>
    <row r="186" spans="1:15" x14ac:dyDescent="0.3">
      <c r="A186" t="s">
        <v>71</v>
      </c>
      <c r="B186" t="s">
        <v>72</v>
      </c>
      <c r="C186" t="s">
        <v>281</v>
      </c>
      <c r="D186">
        <v>416098</v>
      </c>
      <c r="E186">
        <v>609010</v>
      </c>
      <c r="F186">
        <v>536147</v>
      </c>
      <c r="G186">
        <v>536147</v>
      </c>
      <c r="H186">
        <v>536147</v>
      </c>
      <c r="I186">
        <v>379918</v>
      </c>
      <c r="J186">
        <v>380907</v>
      </c>
      <c r="K186">
        <v>380931</v>
      </c>
      <c r="L186">
        <v>1032156</v>
      </c>
      <c r="M186">
        <v>913850</v>
      </c>
      <c r="N186">
        <v>913288</v>
      </c>
      <c r="O186">
        <v>913326</v>
      </c>
    </row>
    <row r="187" spans="1:15" x14ac:dyDescent="0.3">
      <c r="A187" t="s">
        <v>71</v>
      </c>
      <c r="B187" t="s">
        <v>72</v>
      </c>
      <c r="C187" t="s">
        <v>280</v>
      </c>
      <c r="D187">
        <v>609010</v>
      </c>
      <c r="E187">
        <v>536147</v>
      </c>
      <c r="F187">
        <v>536147</v>
      </c>
      <c r="G187">
        <v>536147</v>
      </c>
      <c r="H187">
        <v>379918</v>
      </c>
      <c r="I187">
        <v>380907</v>
      </c>
      <c r="J187">
        <v>380931</v>
      </c>
      <c r="K187">
        <v>1032156</v>
      </c>
      <c r="L187">
        <v>913850</v>
      </c>
      <c r="M187">
        <v>913288</v>
      </c>
      <c r="N187">
        <v>913326</v>
      </c>
      <c r="O187">
        <v>816925</v>
      </c>
    </row>
    <row r="188" spans="1:15" x14ac:dyDescent="0.3">
      <c r="A188" t="s">
        <v>71</v>
      </c>
      <c r="B188" t="s">
        <v>72</v>
      </c>
      <c r="C188" t="s">
        <v>284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</row>
    <row r="189" spans="1:15" x14ac:dyDescent="0.3">
      <c r="A189" t="s">
        <v>69</v>
      </c>
      <c r="B189" t="s">
        <v>70</v>
      </c>
      <c r="C189" t="s">
        <v>278</v>
      </c>
      <c r="D189">
        <v>3079</v>
      </c>
      <c r="E189">
        <v>2915</v>
      </c>
      <c r="F189">
        <v>2752</v>
      </c>
      <c r="G189">
        <v>2588</v>
      </c>
      <c r="H189">
        <v>2424</v>
      </c>
      <c r="I189">
        <v>2260</v>
      </c>
      <c r="J189">
        <v>2097</v>
      </c>
      <c r="K189">
        <v>1933</v>
      </c>
      <c r="L189">
        <v>1769</v>
      </c>
      <c r="M189">
        <v>1605</v>
      </c>
      <c r="N189">
        <v>1</v>
      </c>
      <c r="O189">
        <v>1</v>
      </c>
    </row>
    <row r="190" spans="1:15" x14ac:dyDescent="0.3">
      <c r="A190" t="s">
        <v>69</v>
      </c>
      <c r="B190" t="s">
        <v>70</v>
      </c>
      <c r="C190" t="s">
        <v>279</v>
      </c>
      <c r="D190">
        <v>2915</v>
      </c>
      <c r="E190">
        <v>2752</v>
      </c>
      <c r="F190">
        <v>2588</v>
      </c>
      <c r="G190">
        <v>2424</v>
      </c>
      <c r="H190">
        <v>2260</v>
      </c>
      <c r="I190">
        <v>2097</v>
      </c>
      <c r="J190">
        <v>1933</v>
      </c>
      <c r="K190">
        <v>1769</v>
      </c>
      <c r="L190">
        <v>1605</v>
      </c>
      <c r="M190">
        <v>1979</v>
      </c>
      <c r="N190">
        <v>1</v>
      </c>
      <c r="O190">
        <v>1</v>
      </c>
    </row>
    <row r="191" spans="1:15" x14ac:dyDescent="0.3">
      <c r="A191" t="s">
        <v>69</v>
      </c>
      <c r="B191" t="s">
        <v>70</v>
      </c>
      <c r="C191" t="s">
        <v>273</v>
      </c>
      <c r="D191">
        <v>164</v>
      </c>
      <c r="E191">
        <v>164</v>
      </c>
      <c r="F191">
        <v>164</v>
      </c>
      <c r="G191">
        <v>164</v>
      </c>
      <c r="H191">
        <v>164</v>
      </c>
      <c r="I191">
        <v>164</v>
      </c>
      <c r="J191">
        <v>164</v>
      </c>
      <c r="K191">
        <v>164</v>
      </c>
      <c r="L191">
        <v>164</v>
      </c>
      <c r="M191">
        <v>202</v>
      </c>
      <c r="N191">
        <v>1</v>
      </c>
      <c r="O191">
        <v>1</v>
      </c>
    </row>
    <row r="192" spans="1:15" hidden="1" x14ac:dyDescent="0.3">
      <c r="A192" t="s">
        <v>69</v>
      </c>
      <c r="B192" t="s">
        <v>70</v>
      </c>
      <c r="C192" t="s">
        <v>282</v>
      </c>
      <c r="D192">
        <v>249525</v>
      </c>
      <c r="E192">
        <v>158957</v>
      </c>
      <c r="F192">
        <v>136326</v>
      </c>
      <c r="G192">
        <v>129424</v>
      </c>
      <c r="H192">
        <v>110884</v>
      </c>
      <c r="I192">
        <v>44128</v>
      </c>
      <c r="J192">
        <v>24125</v>
      </c>
      <c r="K192">
        <v>9059</v>
      </c>
      <c r="L192">
        <v>4414</v>
      </c>
      <c r="M192">
        <v>3906</v>
      </c>
      <c r="N192">
        <v>1</v>
      </c>
      <c r="O192">
        <v>1</v>
      </c>
    </row>
    <row r="193" spans="1:15" x14ac:dyDescent="0.3">
      <c r="A193" t="s">
        <v>69</v>
      </c>
      <c r="B193" t="s">
        <v>70</v>
      </c>
      <c r="C193" t="s">
        <v>274</v>
      </c>
      <c r="D193">
        <v>252348</v>
      </c>
      <c r="E193">
        <v>139550</v>
      </c>
      <c r="F193">
        <v>154536</v>
      </c>
      <c r="G193">
        <v>153109</v>
      </c>
      <c r="H193">
        <v>135350</v>
      </c>
      <c r="I193">
        <v>135350</v>
      </c>
      <c r="J193">
        <v>135350</v>
      </c>
      <c r="K193">
        <v>145532</v>
      </c>
      <c r="L193">
        <v>182466</v>
      </c>
      <c r="M193">
        <v>139854</v>
      </c>
      <c r="N193">
        <v>1</v>
      </c>
      <c r="O193">
        <v>1</v>
      </c>
    </row>
    <row r="194" spans="1:15" x14ac:dyDescent="0.3">
      <c r="A194" t="s">
        <v>69</v>
      </c>
      <c r="B194" t="s">
        <v>70</v>
      </c>
      <c r="C194" t="s">
        <v>275</v>
      </c>
      <c r="D194">
        <v>139550</v>
      </c>
      <c r="E194">
        <v>154536</v>
      </c>
      <c r="F194">
        <v>153109</v>
      </c>
      <c r="G194">
        <v>135350</v>
      </c>
      <c r="H194">
        <v>135350</v>
      </c>
      <c r="I194">
        <v>135350</v>
      </c>
      <c r="J194">
        <v>145532</v>
      </c>
      <c r="K194">
        <v>182466</v>
      </c>
      <c r="L194">
        <v>139854</v>
      </c>
      <c r="M194">
        <v>142510</v>
      </c>
      <c r="N194">
        <v>1</v>
      </c>
      <c r="O194">
        <v>1</v>
      </c>
    </row>
    <row r="195" spans="1:15" hidden="1" x14ac:dyDescent="0.3">
      <c r="A195" t="s">
        <v>69</v>
      </c>
      <c r="B195" t="s">
        <v>70</v>
      </c>
      <c r="C195" t="s">
        <v>277</v>
      </c>
      <c r="D195">
        <v>2765</v>
      </c>
      <c r="E195">
        <v>14986</v>
      </c>
      <c r="F195">
        <v>4901</v>
      </c>
      <c r="G195">
        <v>11000</v>
      </c>
      <c r="H195">
        <v>0</v>
      </c>
      <c r="I195">
        <v>0</v>
      </c>
      <c r="J195">
        <v>10182</v>
      </c>
      <c r="K195">
        <v>36934</v>
      </c>
      <c r="L195">
        <v>777</v>
      </c>
      <c r="M195">
        <v>2656</v>
      </c>
      <c r="N195">
        <v>1</v>
      </c>
      <c r="O195">
        <v>1</v>
      </c>
    </row>
    <row r="196" spans="1:15" x14ac:dyDescent="0.3">
      <c r="A196" t="s">
        <v>69</v>
      </c>
      <c r="B196" t="s">
        <v>70</v>
      </c>
      <c r="C196" t="s">
        <v>276</v>
      </c>
      <c r="D196">
        <v>1000</v>
      </c>
      <c r="E196">
        <v>0</v>
      </c>
      <c r="F196">
        <v>6329</v>
      </c>
      <c r="G196">
        <v>28758</v>
      </c>
      <c r="H196">
        <v>0</v>
      </c>
      <c r="I196">
        <v>0</v>
      </c>
      <c r="J196">
        <v>0</v>
      </c>
      <c r="K196">
        <v>0</v>
      </c>
      <c r="L196">
        <v>12809</v>
      </c>
      <c r="M196">
        <v>0</v>
      </c>
      <c r="N196">
        <v>1</v>
      </c>
      <c r="O196">
        <v>1</v>
      </c>
    </row>
    <row r="197" spans="1:15" x14ac:dyDescent="0.3">
      <c r="A197" t="s">
        <v>69</v>
      </c>
      <c r="B197" t="s">
        <v>70</v>
      </c>
      <c r="C197" t="s">
        <v>281</v>
      </c>
      <c r="D197">
        <v>249269</v>
      </c>
      <c r="E197">
        <v>136635</v>
      </c>
      <c r="F197">
        <v>151784</v>
      </c>
      <c r="G197">
        <v>150521</v>
      </c>
      <c r="H197">
        <v>132926</v>
      </c>
      <c r="I197">
        <v>133090</v>
      </c>
      <c r="J197">
        <v>133253</v>
      </c>
      <c r="K197">
        <v>143599</v>
      </c>
      <c r="L197">
        <v>180697</v>
      </c>
      <c r="M197">
        <v>138248</v>
      </c>
      <c r="N197">
        <v>1</v>
      </c>
      <c r="O197">
        <v>1</v>
      </c>
    </row>
    <row r="198" spans="1:15" x14ac:dyDescent="0.3">
      <c r="A198" t="s">
        <v>69</v>
      </c>
      <c r="B198" t="s">
        <v>70</v>
      </c>
      <c r="C198" t="s">
        <v>280</v>
      </c>
      <c r="D198">
        <v>136635</v>
      </c>
      <c r="E198">
        <v>151784</v>
      </c>
      <c r="F198">
        <v>150521</v>
      </c>
      <c r="G198">
        <v>132926</v>
      </c>
      <c r="H198">
        <v>133090</v>
      </c>
      <c r="I198">
        <v>133253</v>
      </c>
      <c r="J198">
        <v>143599</v>
      </c>
      <c r="K198">
        <v>180697</v>
      </c>
      <c r="L198">
        <v>138248</v>
      </c>
      <c r="M198">
        <v>140530</v>
      </c>
      <c r="N198">
        <v>1</v>
      </c>
      <c r="O198">
        <v>1</v>
      </c>
    </row>
    <row r="199" spans="1:15" x14ac:dyDescent="0.3">
      <c r="A199" t="s">
        <v>69</v>
      </c>
      <c r="B199" t="s">
        <v>70</v>
      </c>
      <c r="C199" t="s">
        <v>284</v>
      </c>
      <c r="D199">
        <v>96520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30580</v>
      </c>
      <c r="M199">
        <v>0</v>
      </c>
      <c r="N199">
        <v>1</v>
      </c>
      <c r="O199">
        <v>1</v>
      </c>
    </row>
    <row r="200" spans="1:15" x14ac:dyDescent="0.3">
      <c r="A200" t="s">
        <v>91</v>
      </c>
      <c r="B200" t="s">
        <v>92</v>
      </c>
      <c r="C200" t="s">
        <v>278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</row>
    <row r="201" spans="1:15" x14ac:dyDescent="0.3">
      <c r="A201" t="s">
        <v>91</v>
      </c>
      <c r="B201" t="s">
        <v>92</v>
      </c>
      <c r="C201" t="s">
        <v>279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</row>
    <row r="202" spans="1:15" x14ac:dyDescent="0.3">
      <c r="A202" t="s">
        <v>91</v>
      </c>
      <c r="B202" t="s">
        <v>92</v>
      </c>
      <c r="C202" t="s">
        <v>273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</row>
    <row r="203" spans="1:15" hidden="1" x14ac:dyDescent="0.3">
      <c r="A203" t="s">
        <v>91</v>
      </c>
      <c r="B203" t="s">
        <v>92</v>
      </c>
      <c r="C203" t="s">
        <v>282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</row>
    <row r="204" spans="1:15" x14ac:dyDescent="0.3">
      <c r="A204" t="s">
        <v>91</v>
      </c>
      <c r="B204" t="s">
        <v>92</v>
      </c>
      <c r="C204" t="s">
        <v>274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</row>
    <row r="205" spans="1:15" x14ac:dyDescent="0.3">
      <c r="A205" t="s">
        <v>91</v>
      </c>
      <c r="B205" t="s">
        <v>92</v>
      </c>
      <c r="C205" t="s">
        <v>275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</row>
    <row r="206" spans="1:15" hidden="1" x14ac:dyDescent="0.3">
      <c r="A206" t="s">
        <v>91</v>
      </c>
      <c r="B206" t="s">
        <v>92</v>
      </c>
      <c r="C206" t="s">
        <v>277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</row>
    <row r="207" spans="1:15" x14ac:dyDescent="0.3">
      <c r="A207" t="s">
        <v>91</v>
      </c>
      <c r="B207" t="s">
        <v>92</v>
      </c>
      <c r="C207" t="s">
        <v>276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</row>
    <row r="208" spans="1:15" x14ac:dyDescent="0.3">
      <c r="A208" t="s">
        <v>91</v>
      </c>
      <c r="B208" t="s">
        <v>92</v>
      </c>
      <c r="C208" t="s">
        <v>281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</row>
    <row r="209" spans="1:15" x14ac:dyDescent="0.3">
      <c r="A209" t="s">
        <v>91</v>
      </c>
      <c r="B209" t="s">
        <v>92</v>
      </c>
      <c r="C209" t="s">
        <v>280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</row>
    <row r="210" spans="1:15" x14ac:dyDescent="0.3">
      <c r="A210" t="s">
        <v>91</v>
      </c>
      <c r="B210" t="s">
        <v>92</v>
      </c>
      <c r="C210" t="s">
        <v>284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</row>
    <row r="211" spans="1:15" x14ac:dyDescent="0.3">
      <c r="A211" t="s">
        <v>89</v>
      </c>
      <c r="B211" t="s">
        <v>90</v>
      </c>
      <c r="C211" t="s">
        <v>278</v>
      </c>
      <c r="D211">
        <v>10382</v>
      </c>
      <c r="E211">
        <v>8899</v>
      </c>
      <c r="F211">
        <v>7416</v>
      </c>
      <c r="G211">
        <v>5933</v>
      </c>
      <c r="H211">
        <v>4450</v>
      </c>
      <c r="I211">
        <v>301</v>
      </c>
      <c r="J211">
        <v>251</v>
      </c>
      <c r="K211">
        <v>200</v>
      </c>
      <c r="L211">
        <v>150</v>
      </c>
      <c r="M211">
        <v>100</v>
      </c>
      <c r="N211">
        <v>53</v>
      </c>
      <c r="O211">
        <v>0</v>
      </c>
    </row>
    <row r="212" spans="1:15" x14ac:dyDescent="0.3">
      <c r="A212" t="s">
        <v>89</v>
      </c>
      <c r="B212" t="s">
        <v>90</v>
      </c>
      <c r="C212" t="s">
        <v>279</v>
      </c>
      <c r="D212">
        <v>8899</v>
      </c>
      <c r="E212">
        <v>7416</v>
      </c>
      <c r="F212">
        <v>5933</v>
      </c>
      <c r="G212">
        <v>4450</v>
      </c>
      <c r="H212">
        <v>301</v>
      </c>
      <c r="I212">
        <v>251</v>
      </c>
      <c r="J212">
        <v>200</v>
      </c>
      <c r="K212">
        <v>150</v>
      </c>
      <c r="L212">
        <v>100</v>
      </c>
      <c r="M212">
        <v>53</v>
      </c>
      <c r="N212">
        <v>0</v>
      </c>
      <c r="O212">
        <v>0</v>
      </c>
    </row>
    <row r="213" spans="1:15" x14ac:dyDescent="0.3">
      <c r="A213" t="s">
        <v>89</v>
      </c>
      <c r="B213" t="s">
        <v>90</v>
      </c>
      <c r="C213" t="s">
        <v>273</v>
      </c>
      <c r="D213">
        <v>1483</v>
      </c>
      <c r="E213">
        <v>1483</v>
      </c>
      <c r="F213">
        <v>1483</v>
      </c>
      <c r="G213">
        <v>1483</v>
      </c>
      <c r="H213">
        <v>4149</v>
      </c>
      <c r="I213">
        <v>50</v>
      </c>
      <c r="J213">
        <v>50</v>
      </c>
      <c r="K213">
        <v>50</v>
      </c>
      <c r="L213">
        <v>50</v>
      </c>
      <c r="M213">
        <v>47</v>
      </c>
      <c r="N213">
        <v>53</v>
      </c>
      <c r="O213">
        <v>0</v>
      </c>
    </row>
    <row r="214" spans="1:15" hidden="1" x14ac:dyDescent="0.3">
      <c r="A214" t="s">
        <v>89</v>
      </c>
      <c r="B214" t="s">
        <v>90</v>
      </c>
      <c r="C214" t="s">
        <v>282</v>
      </c>
      <c r="D214">
        <v>58015</v>
      </c>
      <c r="E214">
        <v>49797</v>
      </c>
      <c r="F214">
        <v>49247</v>
      </c>
      <c r="G214">
        <v>51996</v>
      </c>
      <c r="H214">
        <v>52879</v>
      </c>
      <c r="I214">
        <v>52879</v>
      </c>
      <c r="J214">
        <v>52322</v>
      </c>
      <c r="K214">
        <v>52322</v>
      </c>
      <c r="L214">
        <v>0</v>
      </c>
      <c r="M214">
        <v>0</v>
      </c>
      <c r="N214">
        <v>0</v>
      </c>
      <c r="O214">
        <v>0</v>
      </c>
    </row>
    <row r="215" spans="1:15" x14ac:dyDescent="0.3">
      <c r="A215" t="s">
        <v>89</v>
      </c>
      <c r="B215" t="s">
        <v>90</v>
      </c>
      <c r="C215" t="s">
        <v>274</v>
      </c>
      <c r="D215">
        <v>30917</v>
      </c>
      <c r="E215">
        <v>30917</v>
      </c>
      <c r="F215">
        <v>30917</v>
      </c>
      <c r="G215">
        <v>30917</v>
      </c>
      <c r="H215">
        <v>36749</v>
      </c>
      <c r="I215">
        <v>21509</v>
      </c>
      <c r="J215">
        <v>21509</v>
      </c>
      <c r="K215">
        <v>21509</v>
      </c>
      <c r="L215">
        <v>21509</v>
      </c>
      <c r="M215">
        <v>21509</v>
      </c>
      <c r="N215">
        <v>21591</v>
      </c>
      <c r="O215">
        <v>19956</v>
      </c>
    </row>
    <row r="216" spans="1:15" x14ac:dyDescent="0.3">
      <c r="A216" t="s">
        <v>89</v>
      </c>
      <c r="B216" t="s">
        <v>90</v>
      </c>
      <c r="C216" t="s">
        <v>275</v>
      </c>
      <c r="D216">
        <v>30917</v>
      </c>
      <c r="E216">
        <v>30917</v>
      </c>
      <c r="F216">
        <v>30917</v>
      </c>
      <c r="G216">
        <v>36749</v>
      </c>
      <c r="H216">
        <v>21509</v>
      </c>
      <c r="I216">
        <v>21509</v>
      </c>
      <c r="J216">
        <v>21509</v>
      </c>
      <c r="K216">
        <v>21509</v>
      </c>
      <c r="L216">
        <v>21509</v>
      </c>
      <c r="M216">
        <v>21590</v>
      </c>
      <c r="N216">
        <v>19956</v>
      </c>
      <c r="O216">
        <v>19956</v>
      </c>
    </row>
    <row r="217" spans="1:15" hidden="1" x14ac:dyDescent="0.3">
      <c r="A217" t="s">
        <v>89</v>
      </c>
      <c r="B217" t="s">
        <v>90</v>
      </c>
      <c r="C217" t="s">
        <v>277</v>
      </c>
      <c r="D217">
        <v>0</v>
      </c>
      <c r="E217">
        <v>0</v>
      </c>
      <c r="F217">
        <v>0</v>
      </c>
      <c r="G217">
        <v>5832</v>
      </c>
      <c r="H217">
        <v>5207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</row>
    <row r="218" spans="1:15" x14ac:dyDescent="0.3">
      <c r="A218" t="s">
        <v>89</v>
      </c>
      <c r="B218" t="s">
        <v>90</v>
      </c>
      <c r="C218" t="s">
        <v>276</v>
      </c>
      <c r="D218">
        <v>0</v>
      </c>
      <c r="E218">
        <v>0</v>
      </c>
      <c r="F218">
        <v>0</v>
      </c>
      <c r="G218">
        <v>-5832</v>
      </c>
      <c r="H218">
        <v>15240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1635</v>
      </c>
      <c r="O218">
        <v>0</v>
      </c>
    </row>
    <row r="219" spans="1:15" x14ac:dyDescent="0.3">
      <c r="A219" t="s">
        <v>89</v>
      </c>
      <c r="B219" t="s">
        <v>90</v>
      </c>
      <c r="C219" t="s">
        <v>281</v>
      </c>
      <c r="D219">
        <v>20535</v>
      </c>
      <c r="E219">
        <v>22018</v>
      </c>
      <c r="F219">
        <v>23501</v>
      </c>
      <c r="G219">
        <v>24984</v>
      </c>
      <c r="H219">
        <v>32299</v>
      </c>
      <c r="I219">
        <v>21208</v>
      </c>
      <c r="J219">
        <v>21258</v>
      </c>
      <c r="K219">
        <v>21308</v>
      </c>
      <c r="L219">
        <v>21358</v>
      </c>
      <c r="M219">
        <v>21409</v>
      </c>
      <c r="N219">
        <v>21538</v>
      </c>
      <c r="O219">
        <v>19956</v>
      </c>
    </row>
    <row r="220" spans="1:15" x14ac:dyDescent="0.3">
      <c r="A220" t="s">
        <v>89</v>
      </c>
      <c r="B220" t="s">
        <v>90</v>
      </c>
      <c r="C220" t="s">
        <v>280</v>
      </c>
      <c r="D220">
        <v>22018</v>
      </c>
      <c r="E220">
        <v>23501</v>
      </c>
      <c r="F220">
        <v>24984</v>
      </c>
      <c r="G220">
        <v>32299</v>
      </c>
      <c r="H220">
        <v>21208</v>
      </c>
      <c r="I220">
        <v>21258</v>
      </c>
      <c r="J220">
        <v>21308</v>
      </c>
      <c r="K220">
        <v>21358</v>
      </c>
      <c r="L220">
        <v>21409</v>
      </c>
      <c r="M220">
        <v>21538</v>
      </c>
      <c r="N220">
        <v>19956</v>
      </c>
      <c r="O220">
        <v>19956</v>
      </c>
    </row>
    <row r="221" spans="1:15" x14ac:dyDescent="0.3">
      <c r="A221" t="s">
        <v>89</v>
      </c>
      <c r="B221" t="s">
        <v>90</v>
      </c>
      <c r="C221" t="s">
        <v>284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</row>
    <row r="222" spans="1:15" x14ac:dyDescent="0.3">
      <c r="A222" t="s">
        <v>93</v>
      </c>
      <c r="B222" t="s">
        <v>94</v>
      </c>
      <c r="C222" t="s">
        <v>278</v>
      </c>
      <c r="D222">
        <v>55299</v>
      </c>
      <c r="E222">
        <v>52248</v>
      </c>
      <c r="F222">
        <v>49588</v>
      </c>
      <c r="G222">
        <v>46927</v>
      </c>
      <c r="H222">
        <v>44267</v>
      </c>
      <c r="I222">
        <v>41606</v>
      </c>
      <c r="J222">
        <v>38946</v>
      </c>
      <c r="K222">
        <v>36285</v>
      </c>
      <c r="L222">
        <v>33697</v>
      </c>
      <c r="M222">
        <v>28158</v>
      </c>
      <c r="N222">
        <v>1</v>
      </c>
      <c r="O222">
        <v>9469</v>
      </c>
    </row>
    <row r="223" spans="1:15" x14ac:dyDescent="0.3">
      <c r="A223" t="s">
        <v>93</v>
      </c>
      <c r="B223" t="s">
        <v>94</v>
      </c>
      <c r="C223" t="s">
        <v>279</v>
      </c>
      <c r="D223">
        <v>52248</v>
      </c>
      <c r="E223">
        <v>49588</v>
      </c>
      <c r="F223">
        <v>46927</v>
      </c>
      <c r="G223">
        <v>44267</v>
      </c>
      <c r="H223">
        <v>41606</v>
      </c>
      <c r="I223">
        <v>38946</v>
      </c>
      <c r="J223">
        <v>36285</v>
      </c>
      <c r="K223">
        <v>33697</v>
      </c>
      <c r="L223">
        <v>28158</v>
      </c>
      <c r="M223">
        <v>9820</v>
      </c>
      <c r="N223">
        <v>1</v>
      </c>
      <c r="O223">
        <v>9118</v>
      </c>
    </row>
    <row r="224" spans="1:15" x14ac:dyDescent="0.3">
      <c r="A224" t="s">
        <v>93</v>
      </c>
      <c r="B224" t="s">
        <v>94</v>
      </c>
      <c r="C224" t="s">
        <v>273</v>
      </c>
      <c r="D224">
        <v>3051</v>
      </c>
      <c r="E224">
        <v>2660</v>
      </c>
      <c r="F224">
        <v>2661</v>
      </c>
      <c r="G224">
        <v>2660</v>
      </c>
      <c r="H224">
        <v>2661</v>
      </c>
      <c r="I224">
        <v>2660</v>
      </c>
      <c r="J224">
        <v>2661</v>
      </c>
      <c r="K224">
        <v>2588</v>
      </c>
      <c r="L224">
        <v>5539</v>
      </c>
      <c r="M224">
        <v>18338</v>
      </c>
      <c r="N224">
        <v>1</v>
      </c>
      <c r="O224">
        <v>351</v>
      </c>
    </row>
    <row r="225" spans="1:15" hidden="1" x14ac:dyDescent="0.3">
      <c r="A225" t="s">
        <v>93</v>
      </c>
      <c r="B225" t="s">
        <v>94</v>
      </c>
      <c r="C225" t="s">
        <v>282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1</v>
      </c>
      <c r="O225">
        <v>0</v>
      </c>
    </row>
    <row r="226" spans="1:15" x14ac:dyDescent="0.3">
      <c r="A226" t="s">
        <v>93</v>
      </c>
      <c r="B226" t="s">
        <v>94</v>
      </c>
      <c r="C226" t="s">
        <v>274</v>
      </c>
      <c r="D226">
        <v>468101</v>
      </c>
      <c r="E226">
        <v>468101</v>
      </c>
      <c r="F226">
        <v>468101</v>
      </c>
      <c r="G226">
        <v>468101</v>
      </c>
      <c r="H226">
        <v>468101</v>
      </c>
      <c r="I226">
        <v>461718</v>
      </c>
      <c r="J226">
        <v>461718</v>
      </c>
      <c r="K226">
        <v>431746</v>
      </c>
      <c r="L226">
        <v>405418</v>
      </c>
      <c r="M226">
        <v>382618</v>
      </c>
      <c r="N226">
        <v>1</v>
      </c>
      <c r="O226">
        <v>360952</v>
      </c>
    </row>
    <row r="227" spans="1:15" x14ac:dyDescent="0.3">
      <c r="A227" t="s">
        <v>93</v>
      </c>
      <c r="B227" t="s">
        <v>94</v>
      </c>
      <c r="C227" t="s">
        <v>275</v>
      </c>
      <c r="D227">
        <v>468101</v>
      </c>
      <c r="E227">
        <v>468101</v>
      </c>
      <c r="F227">
        <v>468101</v>
      </c>
      <c r="G227">
        <v>468101</v>
      </c>
      <c r="H227">
        <v>461718</v>
      </c>
      <c r="I227">
        <v>461718</v>
      </c>
      <c r="J227">
        <v>431746</v>
      </c>
      <c r="K227">
        <v>405418</v>
      </c>
      <c r="L227">
        <v>382618</v>
      </c>
      <c r="M227">
        <v>367236</v>
      </c>
      <c r="N227">
        <v>1</v>
      </c>
      <c r="O227">
        <v>339830</v>
      </c>
    </row>
    <row r="228" spans="1:15" hidden="1" x14ac:dyDescent="0.3">
      <c r="A228" t="s">
        <v>93</v>
      </c>
      <c r="B228" t="s">
        <v>94</v>
      </c>
      <c r="C228" t="s">
        <v>277</v>
      </c>
      <c r="D228">
        <v>0</v>
      </c>
      <c r="E228">
        <v>0</v>
      </c>
      <c r="F228">
        <v>0</v>
      </c>
      <c r="G228">
        <v>0</v>
      </c>
      <c r="H228">
        <v>288</v>
      </c>
      <c r="I228">
        <v>0</v>
      </c>
      <c r="J228">
        <v>0</v>
      </c>
      <c r="K228">
        <v>0</v>
      </c>
      <c r="L228">
        <v>0</v>
      </c>
      <c r="M228">
        <v>68</v>
      </c>
      <c r="N228">
        <v>1</v>
      </c>
      <c r="O228">
        <v>253</v>
      </c>
    </row>
    <row r="229" spans="1:15" x14ac:dyDescent="0.3">
      <c r="A229" t="s">
        <v>93</v>
      </c>
      <c r="B229" t="s">
        <v>94</v>
      </c>
      <c r="C229" t="s">
        <v>276</v>
      </c>
      <c r="D229">
        <v>0</v>
      </c>
      <c r="E229">
        <v>0</v>
      </c>
      <c r="F229">
        <v>0</v>
      </c>
      <c r="G229">
        <v>0</v>
      </c>
      <c r="H229">
        <v>6383</v>
      </c>
      <c r="I229">
        <v>0</v>
      </c>
      <c r="J229">
        <v>29972</v>
      </c>
      <c r="K229">
        <v>26328</v>
      </c>
      <c r="L229">
        <v>22800</v>
      </c>
      <c r="M229">
        <v>15450</v>
      </c>
      <c r="N229">
        <v>1</v>
      </c>
      <c r="O229">
        <v>21122</v>
      </c>
    </row>
    <row r="230" spans="1:15" x14ac:dyDescent="0.3">
      <c r="A230" t="s">
        <v>93</v>
      </c>
      <c r="B230" t="s">
        <v>94</v>
      </c>
      <c r="C230" t="s">
        <v>281</v>
      </c>
      <c r="D230">
        <v>412802</v>
      </c>
      <c r="E230">
        <v>415853</v>
      </c>
      <c r="F230">
        <v>418513</v>
      </c>
      <c r="G230">
        <v>421174</v>
      </c>
      <c r="H230">
        <v>423834</v>
      </c>
      <c r="I230">
        <v>420112</v>
      </c>
      <c r="J230">
        <v>422772</v>
      </c>
      <c r="K230">
        <v>395461</v>
      </c>
      <c r="L230">
        <v>371721</v>
      </c>
      <c r="M230">
        <v>354460</v>
      </c>
      <c r="N230">
        <v>1</v>
      </c>
      <c r="O230">
        <v>351483</v>
      </c>
    </row>
    <row r="231" spans="1:15" x14ac:dyDescent="0.3">
      <c r="A231" t="s">
        <v>93</v>
      </c>
      <c r="B231" t="s">
        <v>94</v>
      </c>
      <c r="C231" t="s">
        <v>280</v>
      </c>
      <c r="D231">
        <v>415853</v>
      </c>
      <c r="E231">
        <v>418513</v>
      </c>
      <c r="F231">
        <v>421174</v>
      </c>
      <c r="G231">
        <v>423834</v>
      </c>
      <c r="H231">
        <v>420112</v>
      </c>
      <c r="I231">
        <v>422772</v>
      </c>
      <c r="J231">
        <v>395461</v>
      </c>
      <c r="K231">
        <v>371721</v>
      </c>
      <c r="L231">
        <v>354460</v>
      </c>
      <c r="M231">
        <v>357416</v>
      </c>
      <c r="N231">
        <v>1</v>
      </c>
      <c r="O231">
        <v>330712</v>
      </c>
    </row>
    <row r="232" spans="1:15" x14ac:dyDescent="0.3">
      <c r="A232" t="s">
        <v>93</v>
      </c>
      <c r="B232" t="s">
        <v>94</v>
      </c>
      <c r="C232" t="s">
        <v>284</v>
      </c>
      <c r="D232">
        <v>0</v>
      </c>
      <c r="E232">
        <v>0</v>
      </c>
      <c r="F232">
        <v>0</v>
      </c>
      <c r="G232">
        <v>0</v>
      </c>
      <c r="H232">
        <v>6671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1</v>
      </c>
      <c r="O232">
        <v>0</v>
      </c>
    </row>
    <row r="233" spans="1:15" x14ac:dyDescent="0.3">
      <c r="A233" t="s">
        <v>97</v>
      </c>
      <c r="B233" t="s">
        <v>97</v>
      </c>
      <c r="C233" t="s">
        <v>278</v>
      </c>
      <c r="D233">
        <v>7070</v>
      </c>
      <c r="E233">
        <v>6912</v>
      </c>
      <c r="F233">
        <v>6754</v>
      </c>
      <c r="G233">
        <v>6595</v>
      </c>
      <c r="H233">
        <v>6437</v>
      </c>
      <c r="I233">
        <v>6279</v>
      </c>
      <c r="J233">
        <v>6121</v>
      </c>
      <c r="K233">
        <v>5963</v>
      </c>
      <c r="L233">
        <v>5805</v>
      </c>
      <c r="M233">
        <v>5647</v>
      </c>
      <c r="N233">
        <v>5489</v>
      </c>
      <c r="O233">
        <v>5332</v>
      </c>
    </row>
    <row r="234" spans="1:15" x14ac:dyDescent="0.3">
      <c r="A234" t="s">
        <v>97</v>
      </c>
      <c r="B234" t="s">
        <v>97</v>
      </c>
      <c r="C234" t="s">
        <v>279</v>
      </c>
      <c r="D234">
        <v>6912</v>
      </c>
      <c r="E234">
        <v>6754</v>
      </c>
      <c r="F234">
        <v>6595</v>
      </c>
      <c r="G234">
        <v>6437</v>
      </c>
      <c r="H234">
        <v>6279</v>
      </c>
      <c r="I234">
        <v>6121</v>
      </c>
      <c r="J234">
        <v>5963</v>
      </c>
      <c r="K234">
        <v>5805</v>
      </c>
      <c r="L234">
        <v>5647</v>
      </c>
      <c r="M234">
        <v>5489</v>
      </c>
      <c r="N234">
        <v>5332</v>
      </c>
      <c r="O234">
        <v>5174</v>
      </c>
    </row>
    <row r="235" spans="1:15" x14ac:dyDescent="0.3">
      <c r="A235" t="s">
        <v>97</v>
      </c>
      <c r="B235" t="s">
        <v>97</v>
      </c>
      <c r="C235" t="s">
        <v>273</v>
      </c>
      <c r="D235">
        <v>158</v>
      </c>
      <c r="E235">
        <v>158</v>
      </c>
      <c r="F235">
        <v>159</v>
      </c>
      <c r="G235">
        <v>158</v>
      </c>
      <c r="H235">
        <v>158</v>
      </c>
      <c r="I235">
        <v>158</v>
      </c>
      <c r="J235">
        <v>158</v>
      </c>
      <c r="K235">
        <v>158</v>
      </c>
      <c r="L235">
        <v>158</v>
      </c>
      <c r="M235">
        <v>158</v>
      </c>
      <c r="N235">
        <v>157</v>
      </c>
      <c r="O235">
        <v>158</v>
      </c>
    </row>
    <row r="236" spans="1:15" hidden="1" x14ac:dyDescent="0.3">
      <c r="A236" t="s">
        <v>97</v>
      </c>
      <c r="B236" t="s">
        <v>97</v>
      </c>
      <c r="C236" t="s">
        <v>282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</row>
    <row r="237" spans="1:15" x14ac:dyDescent="0.3">
      <c r="A237" t="s">
        <v>97</v>
      </c>
      <c r="B237" t="s">
        <v>97</v>
      </c>
      <c r="C237" t="s">
        <v>274</v>
      </c>
      <c r="D237">
        <v>4360370</v>
      </c>
      <c r="E237">
        <v>4360370</v>
      </c>
      <c r="F237">
        <v>4360370</v>
      </c>
      <c r="G237">
        <v>4347706</v>
      </c>
      <c r="H237">
        <v>4347706</v>
      </c>
      <c r="I237">
        <v>4280840</v>
      </c>
      <c r="J237">
        <v>4280834</v>
      </c>
      <c r="K237">
        <v>4281049</v>
      </c>
      <c r="L237">
        <v>3486801</v>
      </c>
      <c r="M237">
        <v>3478880</v>
      </c>
      <c r="N237">
        <v>3629594</v>
      </c>
      <c r="O237">
        <v>3629594</v>
      </c>
    </row>
    <row r="238" spans="1:15" x14ac:dyDescent="0.3">
      <c r="A238" t="s">
        <v>97</v>
      </c>
      <c r="B238" t="s">
        <v>97</v>
      </c>
      <c r="C238" t="s">
        <v>275</v>
      </c>
      <c r="D238">
        <v>4360370</v>
      </c>
      <c r="E238">
        <v>4360370</v>
      </c>
      <c r="F238">
        <v>4347706</v>
      </c>
      <c r="G238">
        <v>4347706</v>
      </c>
      <c r="H238">
        <v>4280840</v>
      </c>
      <c r="I238">
        <v>4280834</v>
      </c>
      <c r="J238">
        <v>4281049</v>
      </c>
      <c r="K238">
        <v>3486801</v>
      </c>
      <c r="L238">
        <v>3478880</v>
      </c>
      <c r="M238">
        <v>3629594</v>
      </c>
      <c r="N238">
        <v>3629594</v>
      </c>
      <c r="O238">
        <v>3629594</v>
      </c>
    </row>
    <row r="239" spans="1:15" hidden="1" x14ac:dyDescent="0.3">
      <c r="A239" t="s">
        <v>97</v>
      </c>
      <c r="B239" t="s">
        <v>97</v>
      </c>
      <c r="C239" t="s">
        <v>277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918</v>
      </c>
      <c r="L239">
        <v>4294</v>
      </c>
      <c r="M239">
        <v>156032</v>
      </c>
      <c r="N239">
        <v>0</v>
      </c>
      <c r="O239">
        <v>0</v>
      </c>
    </row>
    <row r="240" spans="1:15" x14ac:dyDescent="0.3">
      <c r="A240" t="s">
        <v>97</v>
      </c>
      <c r="B240" t="s">
        <v>97</v>
      </c>
      <c r="C240" t="s">
        <v>276</v>
      </c>
      <c r="D240">
        <v>0</v>
      </c>
      <c r="E240">
        <v>0</v>
      </c>
      <c r="F240">
        <v>12664</v>
      </c>
      <c r="G240">
        <v>0</v>
      </c>
      <c r="H240">
        <v>66866</v>
      </c>
      <c r="I240">
        <v>6</v>
      </c>
      <c r="J240">
        <v>-215</v>
      </c>
      <c r="K240">
        <v>795166</v>
      </c>
      <c r="L240">
        <v>12215</v>
      </c>
      <c r="M240">
        <v>5318</v>
      </c>
      <c r="N240">
        <v>0</v>
      </c>
      <c r="O240">
        <v>0</v>
      </c>
    </row>
    <row r="241" spans="1:15" x14ac:dyDescent="0.3">
      <c r="A241" t="s">
        <v>97</v>
      </c>
      <c r="B241" t="s">
        <v>97</v>
      </c>
      <c r="C241" t="s">
        <v>281</v>
      </c>
      <c r="D241">
        <v>4353300</v>
      </c>
      <c r="E241">
        <v>4353458</v>
      </c>
      <c r="F241">
        <v>4353616</v>
      </c>
      <c r="G241">
        <v>4341111</v>
      </c>
      <c r="H241">
        <v>4341269</v>
      </c>
      <c r="I241">
        <v>4274561</v>
      </c>
      <c r="J241">
        <v>4274713</v>
      </c>
      <c r="K241">
        <v>4275086</v>
      </c>
      <c r="L241">
        <v>3480996</v>
      </c>
      <c r="M241">
        <v>3473233</v>
      </c>
      <c r="N241">
        <v>3624105</v>
      </c>
      <c r="O241">
        <v>3624262</v>
      </c>
    </row>
    <row r="242" spans="1:15" x14ac:dyDescent="0.3">
      <c r="A242" t="s">
        <v>97</v>
      </c>
      <c r="B242" t="s">
        <v>97</v>
      </c>
      <c r="C242" t="s">
        <v>280</v>
      </c>
      <c r="D242">
        <v>4353458</v>
      </c>
      <c r="E242">
        <v>4353616</v>
      </c>
      <c r="F242">
        <v>4341111</v>
      </c>
      <c r="G242">
        <v>4341269</v>
      </c>
      <c r="H242">
        <v>4274561</v>
      </c>
      <c r="I242">
        <v>4274713</v>
      </c>
      <c r="J242">
        <v>4275086</v>
      </c>
      <c r="K242">
        <v>3480996</v>
      </c>
      <c r="L242">
        <v>3473233</v>
      </c>
      <c r="M242">
        <v>3624105</v>
      </c>
      <c r="N242">
        <v>3624262</v>
      </c>
      <c r="O242">
        <v>3624420</v>
      </c>
    </row>
    <row r="243" spans="1:15" x14ac:dyDescent="0.3">
      <c r="A243" t="s">
        <v>97</v>
      </c>
      <c r="B243" t="s">
        <v>97</v>
      </c>
      <c r="C243" t="s">
        <v>284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</row>
    <row r="244" spans="1:15" x14ac:dyDescent="0.3">
      <c r="A244" t="s">
        <v>95</v>
      </c>
      <c r="B244" t="s">
        <v>96</v>
      </c>
      <c r="C244" t="s">
        <v>278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1</v>
      </c>
      <c r="O244">
        <v>1</v>
      </c>
    </row>
    <row r="245" spans="1:15" x14ac:dyDescent="0.3">
      <c r="A245" t="s">
        <v>95</v>
      </c>
      <c r="B245" t="s">
        <v>96</v>
      </c>
      <c r="C245" t="s">
        <v>279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1</v>
      </c>
      <c r="O245">
        <v>1</v>
      </c>
    </row>
    <row r="246" spans="1:15" x14ac:dyDescent="0.3">
      <c r="A246" t="s">
        <v>95</v>
      </c>
      <c r="B246" t="s">
        <v>96</v>
      </c>
      <c r="C246" t="s">
        <v>273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1</v>
      </c>
      <c r="O246">
        <v>1</v>
      </c>
    </row>
    <row r="247" spans="1:15" hidden="1" x14ac:dyDescent="0.3">
      <c r="A247" t="s">
        <v>95</v>
      </c>
      <c r="B247" t="s">
        <v>96</v>
      </c>
      <c r="C247" t="s">
        <v>282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1</v>
      </c>
      <c r="O247">
        <v>1</v>
      </c>
    </row>
    <row r="248" spans="1:15" x14ac:dyDescent="0.3">
      <c r="A248" t="s">
        <v>95</v>
      </c>
      <c r="B248" t="s">
        <v>96</v>
      </c>
      <c r="C248" t="s">
        <v>274</v>
      </c>
      <c r="D248">
        <v>534357</v>
      </c>
      <c r="E248">
        <v>540735</v>
      </c>
      <c r="F248">
        <v>384373</v>
      </c>
      <c r="G248">
        <v>384373</v>
      </c>
      <c r="H248">
        <v>377995</v>
      </c>
      <c r="I248">
        <v>377995</v>
      </c>
      <c r="J248">
        <v>396100</v>
      </c>
      <c r="K248">
        <v>396100</v>
      </c>
      <c r="L248">
        <v>0</v>
      </c>
      <c r="M248">
        <v>12802</v>
      </c>
      <c r="N248">
        <v>1</v>
      </c>
      <c r="O248">
        <v>1</v>
      </c>
    </row>
    <row r="249" spans="1:15" x14ac:dyDescent="0.3">
      <c r="A249" t="s">
        <v>95</v>
      </c>
      <c r="B249" t="s">
        <v>96</v>
      </c>
      <c r="C249" t="s">
        <v>275</v>
      </c>
      <c r="D249">
        <v>540735</v>
      </c>
      <c r="E249">
        <v>384373</v>
      </c>
      <c r="F249">
        <v>384373</v>
      </c>
      <c r="G249">
        <v>377995</v>
      </c>
      <c r="H249">
        <v>377995</v>
      </c>
      <c r="I249">
        <v>396100</v>
      </c>
      <c r="J249">
        <v>396100</v>
      </c>
      <c r="K249">
        <v>0</v>
      </c>
      <c r="L249">
        <v>12802</v>
      </c>
      <c r="M249">
        <v>12802</v>
      </c>
      <c r="N249">
        <v>1</v>
      </c>
      <c r="O249">
        <v>1</v>
      </c>
    </row>
    <row r="250" spans="1:15" hidden="1" x14ac:dyDescent="0.3">
      <c r="A250" t="s">
        <v>95</v>
      </c>
      <c r="B250" t="s">
        <v>96</v>
      </c>
      <c r="C250" t="s">
        <v>277</v>
      </c>
      <c r="D250">
        <v>6378</v>
      </c>
      <c r="E250">
        <v>0</v>
      </c>
      <c r="F250">
        <v>0</v>
      </c>
      <c r="G250">
        <v>0</v>
      </c>
      <c r="H250">
        <v>0</v>
      </c>
      <c r="I250">
        <v>18105</v>
      </c>
      <c r="J250">
        <v>0</v>
      </c>
      <c r="K250">
        <v>0</v>
      </c>
      <c r="L250">
        <v>0</v>
      </c>
      <c r="M250">
        <v>0</v>
      </c>
      <c r="N250">
        <v>1</v>
      </c>
      <c r="O250">
        <v>1</v>
      </c>
    </row>
    <row r="251" spans="1:15" x14ac:dyDescent="0.3">
      <c r="A251" t="s">
        <v>95</v>
      </c>
      <c r="B251" t="s">
        <v>96</v>
      </c>
      <c r="C251" t="s">
        <v>276</v>
      </c>
      <c r="D251">
        <v>0</v>
      </c>
      <c r="E251">
        <v>156362</v>
      </c>
      <c r="F251">
        <v>0</v>
      </c>
      <c r="G251">
        <v>6378</v>
      </c>
      <c r="H251">
        <v>0</v>
      </c>
      <c r="I251">
        <v>0</v>
      </c>
      <c r="J251">
        <v>0</v>
      </c>
      <c r="K251">
        <v>396100</v>
      </c>
      <c r="L251">
        <v>0</v>
      </c>
      <c r="M251">
        <v>0</v>
      </c>
      <c r="N251">
        <v>1</v>
      </c>
      <c r="O251">
        <v>1</v>
      </c>
    </row>
    <row r="252" spans="1:15" x14ac:dyDescent="0.3">
      <c r="A252" t="s">
        <v>95</v>
      </c>
      <c r="B252" t="s">
        <v>96</v>
      </c>
      <c r="C252" t="s">
        <v>281</v>
      </c>
      <c r="D252">
        <v>534357</v>
      </c>
      <c r="E252">
        <v>540735</v>
      </c>
      <c r="F252">
        <v>384373</v>
      </c>
      <c r="G252">
        <v>384373</v>
      </c>
      <c r="H252">
        <v>377995</v>
      </c>
      <c r="I252">
        <v>377995</v>
      </c>
      <c r="J252">
        <v>396100</v>
      </c>
      <c r="K252">
        <v>396100</v>
      </c>
      <c r="L252">
        <v>0</v>
      </c>
      <c r="M252">
        <v>12802</v>
      </c>
      <c r="N252">
        <v>1</v>
      </c>
      <c r="O252">
        <v>1</v>
      </c>
    </row>
    <row r="253" spans="1:15" x14ac:dyDescent="0.3">
      <c r="A253" t="s">
        <v>95</v>
      </c>
      <c r="B253" t="s">
        <v>96</v>
      </c>
      <c r="C253" t="s">
        <v>280</v>
      </c>
      <c r="D253">
        <v>540735</v>
      </c>
      <c r="E253">
        <v>384373</v>
      </c>
      <c r="F253">
        <v>384373</v>
      </c>
      <c r="G253">
        <v>377995</v>
      </c>
      <c r="H253">
        <v>377995</v>
      </c>
      <c r="I253">
        <v>396100</v>
      </c>
      <c r="J253">
        <v>396100</v>
      </c>
      <c r="K253">
        <v>0</v>
      </c>
      <c r="L253">
        <v>12802</v>
      </c>
      <c r="M253">
        <v>12802</v>
      </c>
      <c r="N253">
        <v>1</v>
      </c>
      <c r="O253">
        <v>1</v>
      </c>
    </row>
    <row r="254" spans="1:15" x14ac:dyDescent="0.3">
      <c r="A254" t="s">
        <v>95</v>
      </c>
      <c r="B254" t="s">
        <v>96</v>
      </c>
      <c r="C254" t="s">
        <v>284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1</v>
      </c>
      <c r="O254">
        <v>1</v>
      </c>
    </row>
    <row r="255" spans="1:15" x14ac:dyDescent="0.3">
      <c r="A255" t="s">
        <v>87</v>
      </c>
      <c r="B255" t="s">
        <v>88</v>
      </c>
      <c r="C255" t="s">
        <v>278</v>
      </c>
      <c r="D255">
        <v>89467</v>
      </c>
      <c r="E255">
        <v>81007</v>
      </c>
      <c r="F255">
        <v>72410</v>
      </c>
      <c r="G255">
        <v>63787</v>
      </c>
      <c r="H255">
        <v>282007</v>
      </c>
      <c r="I255">
        <v>252910</v>
      </c>
      <c r="J255">
        <v>223880</v>
      </c>
      <c r="K255">
        <v>198065</v>
      </c>
      <c r="L255">
        <v>169156</v>
      </c>
      <c r="M255">
        <v>142641</v>
      </c>
      <c r="N255">
        <v>117541</v>
      </c>
      <c r="O255">
        <v>93923</v>
      </c>
    </row>
    <row r="256" spans="1:15" x14ac:dyDescent="0.3">
      <c r="A256" t="s">
        <v>87</v>
      </c>
      <c r="B256" t="s">
        <v>88</v>
      </c>
      <c r="C256" t="s">
        <v>279</v>
      </c>
      <c r="D256">
        <v>81007</v>
      </c>
      <c r="E256">
        <v>72410</v>
      </c>
      <c r="F256">
        <v>63787</v>
      </c>
      <c r="G256">
        <v>282007</v>
      </c>
      <c r="H256">
        <v>252910</v>
      </c>
      <c r="I256">
        <v>223880</v>
      </c>
      <c r="J256">
        <v>198065</v>
      </c>
      <c r="K256">
        <v>169156</v>
      </c>
      <c r="L256">
        <v>142641</v>
      </c>
      <c r="M256">
        <v>117541</v>
      </c>
      <c r="N256">
        <v>93923</v>
      </c>
      <c r="O256">
        <v>70755</v>
      </c>
    </row>
    <row r="257" spans="1:15" x14ac:dyDescent="0.3">
      <c r="A257" t="s">
        <v>87</v>
      </c>
      <c r="B257" t="s">
        <v>88</v>
      </c>
      <c r="C257" t="s">
        <v>273</v>
      </c>
      <c r="D257">
        <v>8460</v>
      </c>
      <c r="E257">
        <v>8597</v>
      </c>
      <c r="F257">
        <v>8623</v>
      </c>
      <c r="G257">
        <v>-218220</v>
      </c>
      <c r="H257">
        <v>29097</v>
      </c>
      <c r="I257">
        <v>29030</v>
      </c>
      <c r="J257">
        <v>25815</v>
      </c>
      <c r="K257">
        <v>28909</v>
      </c>
      <c r="L257">
        <v>26515</v>
      </c>
      <c r="M257">
        <v>25100</v>
      </c>
      <c r="N257">
        <v>23618</v>
      </c>
      <c r="O257">
        <v>23168</v>
      </c>
    </row>
    <row r="258" spans="1:15" hidden="1" x14ac:dyDescent="0.3">
      <c r="A258" t="s">
        <v>87</v>
      </c>
      <c r="B258" t="s">
        <v>88</v>
      </c>
      <c r="C258" t="s">
        <v>282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</row>
    <row r="259" spans="1:15" x14ac:dyDescent="0.3">
      <c r="A259" t="s">
        <v>87</v>
      </c>
      <c r="B259" t="s">
        <v>88</v>
      </c>
      <c r="C259" t="s">
        <v>274</v>
      </c>
      <c r="D259">
        <v>2606534</v>
      </c>
      <c r="E259">
        <v>2615257</v>
      </c>
      <c r="F259">
        <v>2615561</v>
      </c>
      <c r="G259">
        <v>2618285</v>
      </c>
      <c r="H259">
        <v>3366121</v>
      </c>
      <c r="I259">
        <v>3485837</v>
      </c>
      <c r="J259">
        <v>3446524</v>
      </c>
      <c r="K259">
        <v>3613144</v>
      </c>
      <c r="L259">
        <v>3605617</v>
      </c>
      <c r="M259">
        <v>3394954</v>
      </c>
      <c r="N259">
        <v>3350406</v>
      </c>
      <c r="O259">
        <v>2313538</v>
      </c>
    </row>
    <row r="260" spans="1:15" x14ac:dyDescent="0.3">
      <c r="A260" t="s">
        <v>87</v>
      </c>
      <c r="B260" t="s">
        <v>88</v>
      </c>
      <c r="C260" t="s">
        <v>275</v>
      </c>
      <c r="D260">
        <v>2615257</v>
      </c>
      <c r="E260">
        <v>2615561</v>
      </c>
      <c r="F260">
        <v>2618285</v>
      </c>
      <c r="G260">
        <v>3366121</v>
      </c>
      <c r="H260">
        <v>3485837</v>
      </c>
      <c r="I260">
        <v>3446524</v>
      </c>
      <c r="J260">
        <v>3613144</v>
      </c>
      <c r="K260">
        <v>3605617</v>
      </c>
      <c r="L260">
        <v>3394954</v>
      </c>
      <c r="M260">
        <v>3350406</v>
      </c>
      <c r="N260">
        <v>2313538</v>
      </c>
      <c r="O260">
        <v>2281661</v>
      </c>
    </row>
    <row r="261" spans="1:15" hidden="1" x14ac:dyDescent="0.3">
      <c r="A261" t="s">
        <v>87</v>
      </c>
      <c r="B261" t="s">
        <v>88</v>
      </c>
      <c r="C261" t="s">
        <v>277</v>
      </c>
      <c r="D261">
        <v>9530</v>
      </c>
      <c r="E261">
        <v>0</v>
      </c>
      <c r="F261">
        <v>0</v>
      </c>
      <c r="G261">
        <v>830265</v>
      </c>
      <c r="H261">
        <v>141923</v>
      </c>
      <c r="I261">
        <v>45863</v>
      </c>
      <c r="J261">
        <v>209256</v>
      </c>
      <c r="K261">
        <v>73491</v>
      </c>
      <c r="L261">
        <v>126669</v>
      </c>
      <c r="M261">
        <v>149435</v>
      </c>
      <c r="N261">
        <v>577</v>
      </c>
      <c r="O261">
        <v>5903</v>
      </c>
    </row>
    <row r="262" spans="1:15" x14ac:dyDescent="0.3">
      <c r="A262" t="s">
        <v>87</v>
      </c>
      <c r="B262" t="s">
        <v>88</v>
      </c>
      <c r="C262" t="s">
        <v>276</v>
      </c>
      <c r="D262">
        <v>807</v>
      </c>
      <c r="E262">
        <v>-304</v>
      </c>
      <c r="F262">
        <v>-2724</v>
      </c>
      <c r="G262">
        <v>-747836</v>
      </c>
      <c r="H262">
        <v>-119716</v>
      </c>
      <c r="I262">
        <v>39313</v>
      </c>
      <c r="J262">
        <v>-166620</v>
      </c>
      <c r="K262">
        <v>7527</v>
      </c>
      <c r="L262">
        <v>210663</v>
      </c>
      <c r="M262">
        <v>44548</v>
      </c>
      <c r="N262">
        <v>1036868</v>
      </c>
      <c r="O262">
        <v>31877</v>
      </c>
    </row>
    <row r="263" spans="1:15" x14ac:dyDescent="0.3">
      <c r="A263" t="s">
        <v>87</v>
      </c>
      <c r="B263" t="s">
        <v>88</v>
      </c>
      <c r="C263" t="s">
        <v>281</v>
      </c>
      <c r="D263">
        <v>2517067</v>
      </c>
      <c r="E263">
        <v>2534250</v>
      </c>
      <c r="F263">
        <v>2543151</v>
      </c>
      <c r="G263">
        <v>2554498</v>
      </c>
      <c r="H263">
        <v>3084114</v>
      </c>
      <c r="I263">
        <v>3232927</v>
      </c>
      <c r="J263">
        <v>3222644</v>
      </c>
      <c r="K263">
        <v>3415079</v>
      </c>
      <c r="L263">
        <v>3436461</v>
      </c>
      <c r="M263">
        <v>3252313</v>
      </c>
      <c r="N263">
        <v>3232865</v>
      </c>
      <c r="O263">
        <v>2219615</v>
      </c>
    </row>
    <row r="264" spans="1:15" x14ac:dyDescent="0.3">
      <c r="A264" t="s">
        <v>87</v>
      </c>
      <c r="B264" t="s">
        <v>88</v>
      </c>
      <c r="C264" t="s">
        <v>280</v>
      </c>
      <c r="D264">
        <v>2534250</v>
      </c>
      <c r="E264">
        <v>2543151</v>
      </c>
      <c r="F264">
        <v>2554498</v>
      </c>
      <c r="G264">
        <v>3084114</v>
      </c>
      <c r="H264">
        <v>3232927</v>
      </c>
      <c r="I264">
        <v>3222644</v>
      </c>
      <c r="J264">
        <v>3415079</v>
      </c>
      <c r="K264">
        <v>3436461</v>
      </c>
      <c r="L264">
        <v>3252313</v>
      </c>
      <c r="M264">
        <v>3232865</v>
      </c>
      <c r="N264">
        <v>2219615</v>
      </c>
      <c r="O264">
        <v>2210906</v>
      </c>
    </row>
    <row r="265" spans="1:15" x14ac:dyDescent="0.3">
      <c r="A265" t="s">
        <v>87</v>
      </c>
      <c r="B265" t="s">
        <v>88</v>
      </c>
      <c r="C265" t="s">
        <v>284</v>
      </c>
      <c r="D265">
        <v>0</v>
      </c>
      <c r="E265">
        <v>0</v>
      </c>
      <c r="F265">
        <v>0</v>
      </c>
      <c r="G265">
        <v>89808</v>
      </c>
      <c r="H265">
        <v>0</v>
      </c>
      <c r="I265">
        <v>40039</v>
      </c>
      <c r="J265">
        <v>4221</v>
      </c>
      <c r="K265">
        <v>36171</v>
      </c>
      <c r="L265">
        <v>60519</v>
      </c>
      <c r="M265">
        <v>41430</v>
      </c>
      <c r="N265">
        <v>167916</v>
      </c>
      <c r="O265">
        <v>37780</v>
      </c>
    </row>
    <row r="266" spans="1:15" x14ac:dyDescent="0.3">
      <c r="A266" t="s">
        <v>100</v>
      </c>
      <c r="B266" t="s">
        <v>101</v>
      </c>
      <c r="C266" t="s">
        <v>278</v>
      </c>
      <c r="D266">
        <v>128888</v>
      </c>
      <c r="E266">
        <v>86273</v>
      </c>
      <c r="F266">
        <v>57854</v>
      </c>
      <c r="G266">
        <v>240</v>
      </c>
      <c r="H266">
        <v>232</v>
      </c>
      <c r="I266">
        <v>476</v>
      </c>
      <c r="J266">
        <v>447</v>
      </c>
      <c r="K266">
        <v>30567</v>
      </c>
      <c r="L266">
        <v>18447</v>
      </c>
      <c r="M266">
        <v>6548</v>
      </c>
      <c r="N266">
        <v>341</v>
      </c>
      <c r="O266">
        <v>504</v>
      </c>
    </row>
    <row r="267" spans="1:15" x14ac:dyDescent="0.3">
      <c r="A267" t="s">
        <v>100</v>
      </c>
      <c r="B267" t="s">
        <v>101</v>
      </c>
      <c r="C267" t="s">
        <v>279</v>
      </c>
      <c r="D267">
        <v>86273</v>
      </c>
      <c r="E267">
        <v>57854</v>
      </c>
      <c r="F267">
        <v>240</v>
      </c>
      <c r="G267">
        <v>232</v>
      </c>
      <c r="H267">
        <v>476</v>
      </c>
      <c r="I267">
        <v>447</v>
      </c>
      <c r="J267">
        <v>30567</v>
      </c>
      <c r="K267">
        <v>18447</v>
      </c>
      <c r="L267">
        <v>6548</v>
      </c>
      <c r="M267">
        <v>341</v>
      </c>
      <c r="N267">
        <v>504</v>
      </c>
      <c r="O267">
        <v>465</v>
      </c>
    </row>
    <row r="268" spans="1:15" x14ac:dyDescent="0.3">
      <c r="A268" t="s">
        <v>100</v>
      </c>
      <c r="B268" t="s">
        <v>101</v>
      </c>
      <c r="C268" t="s">
        <v>273</v>
      </c>
      <c r="D268">
        <v>42615</v>
      </c>
      <c r="E268">
        <v>28419</v>
      </c>
      <c r="F268">
        <v>57614</v>
      </c>
      <c r="G268">
        <v>8</v>
      </c>
      <c r="H268">
        <v>-244</v>
      </c>
      <c r="I268">
        <v>29</v>
      </c>
      <c r="J268">
        <v>-30120</v>
      </c>
      <c r="K268">
        <v>12120</v>
      </c>
      <c r="L268">
        <v>11899</v>
      </c>
      <c r="M268">
        <v>6207</v>
      </c>
      <c r="N268">
        <v>-163</v>
      </c>
      <c r="O268">
        <v>39</v>
      </c>
    </row>
    <row r="269" spans="1:15" hidden="1" x14ac:dyDescent="0.3">
      <c r="A269" t="s">
        <v>100</v>
      </c>
      <c r="B269" t="s">
        <v>101</v>
      </c>
      <c r="C269" t="s">
        <v>282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</row>
    <row r="270" spans="1:15" x14ac:dyDescent="0.3">
      <c r="A270" t="s">
        <v>100</v>
      </c>
      <c r="B270" t="s">
        <v>101</v>
      </c>
      <c r="C270" t="s">
        <v>274</v>
      </c>
      <c r="D270">
        <v>1962950</v>
      </c>
      <c r="E270">
        <v>1960988</v>
      </c>
      <c r="F270">
        <v>2639010</v>
      </c>
      <c r="G270">
        <v>2635698</v>
      </c>
      <c r="H270">
        <v>2622527</v>
      </c>
      <c r="I270">
        <v>2622454</v>
      </c>
      <c r="J270">
        <v>2064499</v>
      </c>
      <c r="K270">
        <v>647826</v>
      </c>
      <c r="L270">
        <v>616223</v>
      </c>
      <c r="M270">
        <v>615768</v>
      </c>
      <c r="N270">
        <v>22250</v>
      </c>
      <c r="O270">
        <v>23112</v>
      </c>
    </row>
    <row r="271" spans="1:15" x14ac:dyDescent="0.3">
      <c r="A271" t="s">
        <v>100</v>
      </c>
      <c r="B271" t="s">
        <v>101</v>
      </c>
      <c r="C271" t="s">
        <v>275</v>
      </c>
      <c r="D271">
        <v>1960988</v>
      </c>
      <c r="E271">
        <v>2639010</v>
      </c>
      <c r="F271">
        <v>2635698</v>
      </c>
      <c r="G271">
        <v>2622527</v>
      </c>
      <c r="H271">
        <v>2622454</v>
      </c>
      <c r="I271">
        <v>2064499</v>
      </c>
      <c r="J271">
        <v>647826</v>
      </c>
      <c r="K271">
        <v>616223</v>
      </c>
      <c r="L271">
        <v>615768</v>
      </c>
      <c r="M271">
        <v>22250</v>
      </c>
      <c r="N271">
        <v>23112</v>
      </c>
      <c r="O271">
        <v>29885</v>
      </c>
    </row>
    <row r="272" spans="1:15" hidden="1" x14ac:dyDescent="0.3">
      <c r="A272" t="s">
        <v>100</v>
      </c>
      <c r="B272" t="s">
        <v>101</v>
      </c>
      <c r="C272" t="s">
        <v>277</v>
      </c>
      <c r="D272">
        <v>908</v>
      </c>
      <c r="E272">
        <v>679787</v>
      </c>
      <c r="F272">
        <v>0</v>
      </c>
      <c r="G272">
        <v>0</v>
      </c>
      <c r="H272">
        <v>885</v>
      </c>
      <c r="I272">
        <v>0</v>
      </c>
      <c r="J272">
        <v>8144</v>
      </c>
      <c r="K272">
        <v>0</v>
      </c>
      <c r="L272">
        <v>0</v>
      </c>
      <c r="M272">
        <v>0</v>
      </c>
      <c r="N272">
        <v>862</v>
      </c>
      <c r="O272">
        <v>6773</v>
      </c>
    </row>
    <row r="273" spans="1:15" x14ac:dyDescent="0.3">
      <c r="A273" t="s">
        <v>100</v>
      </c>
      <c r="B273" t="s">
        <v>101</v>
      </c>
      <c r="C273" t="s">
        <v>276</v>
      </c>
      <c r="D273">
        <v>1962</v>
      </c>
      <c r="E273">
        <v>-678022</v>
      </c>
      <c r="F273">
        <v>3312</v>
      </c>
      <c r="G273">
        <v>13171</v>
      </c>
      <c r="H273">
        <v>73</v>
      </c>
      <c r="I273">
        <v>557955</v>
      </c>
      <c r="J273">
        <v>1416673</v>
      </c>
      <c r="K273">
        <v>31603</v>
      </c>
      <c r="L273">
        <v>455</v>
      </c>
      <c r="M273">
        <v>593518</v>
      </c>
      <c r="N273">
        <v>-862</v>
      </c>
      <c r="O273">
        <v>-6773</v>
      </c>
    </row>
    <row r="274" spans="1:15" x14ac:dyDescent="0.3">
      <c r="A274" t="s">
        <v>100</v>
      </c>
      <c r="B274" t="s">
        <v>101</v>
      </c>
      <c r="C274" t="s">
        <v>281</v>
      </c>
      <c r="D274">
        <v>1834062</v>
      </c>
      <c r="E274">
        <v>1874715</v>
      </c>
      <c r="F274">
        <v>2581156</v>
      </c>
      <c r="G274">
        <v>2635458</v>
      </c>
      <c r="H274">
        <v>2622295</v>
      </c>
      <c r="I274">
        <v>2621978</v>
      </c>
      <c r="J274">
        <v>2064052</v>
      </c>
      <c r="K274">
        <v>617259</v>
      </c>
      <c r="L274">
        <v>597776</v>
      </c>
      <c r="M274">
        <v>609220</v>
      </c>
      <c r="N274">
        <v>21909</v>
      </c>
      <c r="O274">
        <v>22608</v>
      </c>
    </row>
    <row r="275" spans="1:15" x14ac:dyDescent="0.3">
      <c r="A275" t="s">
        <v>100</v>
      </c>
      <c r="B275" t="s">
        <v>101</v>
      </c>
      <c r="C275" t="s">
        <v>280</v>
      </c>
      <c r="D275">
        <v>1874715</v>
      </c>
      <c r="E275">
        <v>2581156</v>
      </c>
      <c r="F275">
        <v>2635458</v>
      </c>
      <c r="G275">
        <v>2622295</v>
      </c>
      <c r="H275">
        <v>2621978</v>
      </c>
      <c r="I275">
        <v>2064052</v>
      </c>
      <c r="J275">
        <v>617259</v>
      </c>
      <c r="K275">
        <v>597776</v>
      </c>
      <c r="L275">
        <v>609220</v>
      </c>
      <c r="M275">
        <v>21909</v>
      </c>
      <c r="N275">
        <v>22608</v>
      </c>
      <c r="O275">
        <v>29420</v>
      </c>
    </row>
    <row r="276" spans="1:15" x14ac:dyDescent="0.3">
      <c r="A276" t="s">
        <v>100</v>
      </c>
      <c r="B276" t="s">
        <v>101</v>
      </c>
      <c r="C276" t="s">
        <v>284</v>
      </c>
      <c r="D276">
        <v>2870</v>
      </c>
      <c r="E276">
        <v>1265</v>
      </c>
      <c r="F276">
        <v>1692</v>
      </c>
      <c r="G276">
        <v>11545</v>
      </c>
      <c r="H276">
        <v>0</v>
      </c>
      <c r="I276">
        <v>557955</v>
      </c>
      <c r="J276">
        <v>1420528</v>
      </c>
      <c r="K276">
        <v>4050</v>
      </c>
      <c r="L276">
        <v>0</v>
      </c>
      <c r="M276">
        <v>0</v>
      </c>
      <c r="N276">
        <v>0</v>
      </c>
      <c r="O276">
        <v>0</v>
      </c>
    </row>
    <row r="277" spans="1:15" x14ac:dyDescent="0.3">
      <c r="A277" t="s">
        <v>102</v>
      </c>
      <c r="B277" t="s">
        <v>103</v>
      </c>
      <c r="C277" t="s">
        <v>278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1</v>
      </c>
    </row>
    <row r="278" spans="1:15" x14ac:dyDescent="0.3">
      <c r="A278" t="s">
        <v>102</v>
      </c>
      <c r="B278" t="s">
        <v>103</v>
      </c>
      <c r="C278" t="s">
        <v>279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1</v>
      </c>
    </row>
    <row r="279" spans="1:15" x14ac:dyDescent="0.3">
      <c r="A279" t="s">
        <v>102</v>
      </c>
      <c r="B279" t="s">
        <v>103</v>
      </c>
      <c r="C279" t="s">
        <v>273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1</v>
      </c>
    </row>
    <row r="280" spans="1:15" hidden="1" x14ac:dyDescent="0.3">
      <c r="A280" t="s">
        <v>102</v>
      </c>
      <c r="B280" t="s">
        <v>103</v>
      </c>
      <c r="C280" t="s">
        <v>282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</v>
      </c>
    </row>
    <row r="281" spans="1:15" x14ac:dyDescent="0.3">
      <c r="A281" t="s">
        <v>102</v>
      </c>
      <c r="B281" t="s">
        <v>103</v>
      </c>
      <c r="C281" t="s">
        <v>274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1</v>
      </c>
    </row>
    <row r="282" spans="1:15" x14ac:dyDescent="0.3">
      <c r="A282" t="s">
        <v>102</v>
      </c>
      <c r="B282" t="s">
        <v>103</v>
      </c>
      <c r="C282" t="s">
        <v>275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1</v>
      </c>
    </row>
    <row r="283" spans="1:15" hidden="1" x14ac:dyDescent="0.3">
      <c r="A283" t="s">
        <v>102</v>
      </c>
      <c r="B283" t="s">
        <v>103</v>
      </c>
      <c r="C283" t="s">
        <v>277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1</v>
      </c>
    </row>
    <row r="284" spans="1:15" x14ac:dyDescent="0.3">
      <c r="A284" t="s">
        <v>102</v>
      </c>
      <c r="B284" t="s">
        <v>103</v>
      </c>
      <c r="C284" t="s">
        <v>276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1</v>
      </c>
    </row>
    <row r="285" spans="1:15" x14ac:dyDescent="0.3">
      <c r="A285" t="s">
        <v>102</v>
      </c>
      <c r="B285" t="s">
        <v>103</v>
      </c>
      <c r="C285" t="s">
        <v>281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1</v>
      </c>
    </row>
    <row r="286" spans="1:15" x14ac:dyDescent="0.3">
      <c r="A286" t="s">
        <v>102</v>
      </c>
      <c r="B286" t="s">
        <v>103</v>
      </c>
      <c r="C286" t="s">
        <v>280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1</v>
      </c>
    </row>
    <row r="287" spans="1:15" x14ac:dyDescent="0.3">
      <c r="A287" t="s">
        <v>102</v>
      </c>
      <c r="B287" t="s">
        <v>103</v>
      </c>
      <c r="C287" t="s">
        <v>284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1</v>
      </c>
    </row>
    <row r="288" spans="1:15" x14ac:dyDescent="0.3">
      <c r="A288" t="s">
        <v>75</v>
      </c>
      <c r="B288" t="s">
        <v>76</v>
      </c>
      <c r="C288" t="s">
        <v>278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1</v>
      </c>
      <c r="K288">
        <v>0</v>
      </c>
      <c r="L288">
        <v>0</v>
      </c>
      <c r="M288">
        <v>0</v>
      </c>
      <c r="N288">
        <v>0</v>
      </c>
      <c r="O288">
        <v>0</v>
      </c>
    </row>
    <row r="289" spans="1:15" x14ac:dyDescent="0.3">
      <c r="A289" t="s">
        <v>75</v>
      </c>
      <c r="B289" t="s">
        <v>76</v>
      </c>
      <c r="C289" t="s">
        <v>279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1</v>
      </c>
      <c r="K289">
        <v>0</v>
      </c>
      <c r="L289">
        <v>0</v>
      </c>
      <c r="M289">
        <v>0</v>
      </c>
      <c r="N289">
        <v>0</v>
      </c>
      <c r="O289">
        <v>0</v>
      </c>
    </row>
    <row r="290" spans="1:15" x14ac:dyDescent="0.3">
      <c r="A290" t="s">
        <v>75</v>
      </c>
      <c r="B290" t="s">
        <v>76</v>
      </c>
      <c r="C290" t="s">
        <v>273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1</v>
      </c>
      <c r="K290">
        <v>0</v>
      </c>
      <c r="L290">
        <v>0</v>
      </c>
      <c r="M290">
        <v>0</v>
      </c>
      <c r="N290">
        <v>0</v>
      </c>
      <c r="O290">
        <v>0</v>
      </c>
    </row>
    <row r="291" spans="1:15" hidden="1" x14ac:dyDescent="0.3">
      <c r="A291" t="s">
        <v>75</v>
      </c>
      <c r="B291" t="s">
        <v>76</v>
      </c>
      <c r="C291" t="s">
        <v>282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</v>
      </c>
      <c r="K291">
        <v>0</v>
      </c>
      <c r="L291">
        <v>0</v>
      </c>
      <c r="M291">
        <v>0</v>
      </c>
      <c r="N291">
        <v>0</v>
      </c>
      <c r="O291">
        <v>0</v>
      </c>
    </row>
    <row r="292" spans="1:15" x14ac:dyDescent="0.3">
      <c r="A292" t="s">
        <v>75</v>
      </c>
      <c r="B292" t="s">
        <v>76</v>
      </c>
      <c r="C292" t="s">
        <v>274</v>
      </c>
      <c r="D292">
        <v>116566</v>
      </c>
      <c r="E292">
        <v>112002</v>
      </c>
      <c r="F292">
        <v>112002</v>
      </c>
      <c r="G292">
        <v>112002</v>
      </c>
      <c r="H292">
        <v>112002</v>
      </c>
      <c r="I292">
        <v>112002</v>
      </c>
      <c r="J292">
        <v>1</v>
      </c>
      <c r="K292">
        <v>112002</v>
      </c>
      <c r="L292">
        <v>112002</v>
      </c>
      <c r="M292">
        <v>112002</v>
      </c>
      <c r="N292">
        <v>123326</v>
      </c>
      <c r="O292">
        <v>104300</v>
      </c>
    </row>
    <row r="293" spans="1:15" x14ac:dyDescent="0.3">
      <c r="A293" t="s">
        <v>75</v>
      </c>
      <c r="B293" t="s">
        <v>76</v>
      </c>
      <c r="C293" t="s">
        <v>275</v>
      </c>
      <c r="D293">
        <v>112002</v>
      </c>
      <c r="E293">
        <v>112002</v>
      </c>
      <c r="F293">
        <v>112002</v>
      </c>
      <c r="G293">
        <v>112002</v>
      </c>
      <c r="H293">
        <v>112002</v>
      </c>
      <c r="I293">
        <v>112002</v>
      </c>
      <c r="J293">
        <v>1</v>
      </c>
      <c r="K293">
        <v>112002</v>
      </c>
      <c r="L293">
        <v>112002</v>
      </c>
      <c r="M293">
        <v>123326</v>
      </c>
      <c r="N293">
        <v>104300</v>
      </c>
      <c r="O293">
        <v>59782</v>
      </c>
    </row>
    <row r="294" spans="1:15" hidden="1" x14ac:dyDescent="0.3">
      <c r="A294" t="s">
        <v>75</v>
      </c>
      <c r="B294" t="s">
        <v>76</v>
      </c>
      <c r="C294" t="s">
        <v>277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1</v>
      </c>
      <c r="K294">
        <v>0</v>
      </c>
      <c r="L294">
        <v>0</v>
      </c>
      <c r="M294">
        <v>22505</v>
      </c>
      <c r="N294">
        <v>56417</v>
      </c>
      <c r="O294">
        <v>0</v>
      </c>
    </row>
    <row r="295" spans="1:15" x14ac:dyDescent="0.3">
      <c r="A295" t="s">
        <v>75</v>
      </c>
      <c r="B295" t="s">
        <v>76</v>
      </c>
      <c r="C295" t="s">
        <v>276</v>
      </c>
      <c r="D295">
        <v>4564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1</v>
      </c>
      <c r="K295">
        <v>0</v>
      </c>
      <c r="L295">
        <v>0</v>
      </c>
      <c r="M295">
        <v>-11324</v>
      </c>
      <c r="N295">
        <v>19026</v>
      </c>
      <c r="O295">
        <v>44518</v>
      </c>
    </row>
    <row r="296" spans="1:15" x14ac:dyDescent="0.3">
      <c r="A296" t="s">
        <v>75</v>
      </c>
      <c r="B296" t="s">
        <v>76</v>
      </c>
      <c r="C296" t="s">
        <v>281</v>
      </c>
      <c r="D296">
        <v>116566</v>
      </c>
      <c r="E296">
        <v>112002</v>
      </c>
      <c r="F296">
        <v>112002</v>
      </c>
      <c r="G296">
        <v>112002</v>
      </c>
      <c r="H296">
        <v>112002</v>
      </c>
      <c r="I296">
        <v>112002</v>
      </c>
      <c r="J296">
        <v>1</v>
      </c>
      <c r="K296">
        <v>112002</v>
      </c>
      <c r="L296">
        <v>112002</v>
      </c>
      <c r="M296">
        <v>112002</v>
      </c>
      <c r="N296">
        <v>123326</v>
      </c>
      <c r="O296">
        <v>104300</v>
      </c>
    </row>
    <row r="297" spans="1:15" x14ac:dyDescent="0.3">
      <c r="A297" t="s">
        <v>75</v>
      </c>
      <c r="B297" t="s">
        <v>76</v>
      </c>
      <c r="C297" t="s">
        <v>280</v>
      </c>
      <c r="D297">
        <v>112002</v>
      </c>
      <c r="E297">
        <v>112002</v>
      </c>
      <c r="F297">
        <v>112002</v>
      </c>
      <c r="G297">
        <v>112002</v>
      </c>
      <c r="H297">
        <v>112002</v>
      </c>
      <c r="I297">
        <v>112002</v>
      </c>
      <c r="J297">
        <v>1</v>
      </c>
      <c r="K297">
        <v>112002</v>
      </c>
      <c r="L297">
        <v>112002</v>
      </c>
      <c r="M297">
        <v>123326</v>
      </c>
      <c r="N297">
        <v>104300</v>
      </c>
      <c r="O297">
        <v>59782</v>
      </c>
    </row>
    <row r="298" spans="1:15" x14ac:dyDescent="0.3">
      <c r="A298" t="s">
        <v>75</v>
      </c>
      <c r="B298" t="s">
        <v>76</v>
      </c>
      <c r="C298" t="s">
        <v>284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1</v>
      </c>
      <c r="K298">
        <v>0</v>
      </c>
      <c r="L298">
        <v>0</v>
      </c>
      <c r="M298">
        <v>0</v>
      </c>
      <c r="N298">
        <v>0</v>
      </c>
      <c r="O298">
        <v>0</v>
      </c>
    </row>
    <row r="299" spans="1:15" x14ac:dyDescent="0.3">
      <c r="A299" t="s">
        <v>108</v>
      </c>
      <c r="B299" t="s">
        <v>109</v>
      </c>
      <c r="C299" t="s">
        <v>278</v>
      </c>
      <c r="D299">
        <v>247617</v>
      </c>
      <c r="E299">
        <v>163290</v>
      </c>
      <c r="F299">
        <v>148171</v>
      </c>
      <c r="G299">
        <v>133383</v>
      </c>
      <c r="H299">
        <v>121055</v>
      </c>
      <c r="I299">
        <v>104485</v>
      </c>
      <c r="J299">
        <v>89468</v>
      </c>
      <c r="K299">
        <v>72279</v>
      </c>
      <c r="L299">
        <v>56122</v>
      </c>
      <c r="M299">
        <v>47067</v>
      </c>
      <c r="N299">
        <v>39090</v>
      </c>
      <c r="O299">
        <v>30256</v>
      </c>
    </row>
    <row r="300" spans="1:15" x14ac:dyDescent="0.3">
      <c r="A300" t="s">
        <v>108</v>
      </c>
      <c r="B300" t="s">
        <v>109</v>
      </c>
      <c r="C300" t="s">
        <v>279</v>
      </c>
      <c r="D300">
        <v>163290</v>
      </c>
      <c r="E300">
        <v>148464</v>
      </c>
      <c r="F300">
        <v>133383</v>
      </c>
      <c r="G300">
        <v>121054</v>
      </c>
      <c r="H300">
        <v>104485</v>
      </c>
      <c r="I300">
        <v>89468</v>
      </c>
      <c r="J300">
        <v>72279</v>
      </c>
      <c r="K300">
        <v>56123</v>
      </c>
      <c r="L300">
        <v>50145</v>
      </c>
      <c r="M300">
        <v>39090</v>
      </c>
      <c r="N300">
        <v>30665</v>
      </c>
      <c r="O300">
        <v>24267</v>
      </c>
    </row>
    <row r="301" spans="1:15" x14ac:dyDescent="0.3">
      <c r="A301" t="s">
        <v>108</v>
      </c>
      <c r="B301" t="s">
        <v>109</v>
      </c>
      <c r="C301" t="s">
        <v>273</v>
      </c>
      <c r="D301">
        <v>84327</v>
      </c>
      <c r="E301">
        <v>14826</v>
      </c>
      <c r="F301">
        <v>14788</v>
      </c>
      <c r="G301">
        <v>12329</v>
      </c>
      <c r="H301">
        <v>16570</v>
      </c>
      <c r="I301">
        <v>15017</v>
      </c>
      <c r="J301">
        <v>17189</v>
      </c>
      <c r="K301">
        <v>16156</v>
      </c>
      <c r="L301">
        <v>5977</v>
      </c>
      <c r="M301">
        <v>7977</v>
      </c>
      <c r="N301">
        <v>8425</v>
      </c>
      <c r="O301">
        <v>5989</v>
      </c>
    </row>
    <row r="302" spans="1:15" hidden="1" x14ac:dyDescent="0.3">
      <c r="A302" t="s">
        <v>108</v>
      </c>
      <c r="B302" t="s">
        <v>109</v>
      </c>
      <c r="C302" t="s">
        <v>282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</row>
    <row r="303" spans="1:15" x14ac:dyDescent="0.3">
      <c r="A303" t="s">
        <v>108</v>
      </c>
      <c r="B303" t="s">
        <v>109</v>
      </c>
      <c r="C303" t="s">
        <v>274</v>
      </c>
      <c r="D303">
        <v>2514333</v>
      </c>
      <c r="E303">
        <v>2504834</v>
      </c>
      <c r="F303">
        <v>2504834</v>
      </c>
      <c r="G303">
        <v>2504743</v>
      </c>
      <c r="H303">
        <v>2504743</v>
      </c>
      <c r="I303">
        <v>2502661</v>
      </c>
      <c r="J303">
        <v>2180059</v>
      </c>
      <c r="K303">
        <v>2069536</v>
      </c>
      <c r="L303">
        <v>1915710</v>
      </c>
      <c r="M303">
        <v>1879909</v>
      </c>
      <c r="N303">
        <v>1637129</v>
      </c>
      <c r="O303">
        <v>1581549</v>
      </c>
    </row>
    <row r="304" spans="1:15" x14ac:dyDescent="0.3">
      <c r="A304" t="s">
        <v>108</v>
      </c>
      <c r="B304" t="s">
        <v>109</v>
      </c>
      <c r="C304" t="s">
        <v>275</v>
      </c>
      <c r="D304">
        <v>2504834</v>
      </c>
      <c r="E304">
        <v>2504834</v>
      </c>
      <c r="F304">
        <v>2504743</v>
      </c>
      <c r="G304">
        <v>2504743</v>
      </c>
      <c r="H304">
        <v>2502661</v>
      </c>
      <c r="I304">
        <v>2180059</v>
      </c>
      <c r="J304">
        <v>2069536</v>
      </c>
      <c r="K304">
        <v>1915710</v>
      </c>
      <c r="L304">
        <v>1964288</v>
      </c>
      <c r="M304">
        <v>1637129</v>
      </c>
      <c r="N304">
        <v>1583838</v>
      </c>
      <c r="O304">
        <v>1414186</v>
      </c>
    </row>
    <row r="305" spans="1:15" hidden="1" x14ac:dyDescent="0.3">
      <c r="A305" t="s">
        <v>108</v>
      </c>
      <c r="B305" t="s">
        <v>109</v>
      </c>
      <c r="C305" t="s">
        <v>277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</row>
    <row r="306" spans="1:15" x14ac:dyDescent="0.3">
      <c r="A306" t="s">
        <v>108</v>
      </c>
      <c r="B306" t="s">
        <v>109</v>
      </c>
      <c r="C306" t="s">
        <v>276</v>
      </c>
      <c r="D306">
        <v>9499</v>
      </c>
      <c r="E306">
        <v>0</v>
      </c>
      <c r="F306">
        <v>91</v>
      </c>
      <c r="G306">
        <v>0</v>
      </c>
      <c r="H306">
        <v>2082</v>
      </c>
      <c r="I306">
        <v>322602</v>
      </c>
      <c r="J306">
        <v>110523</v>
      </c>
      <c r="K306">
        <v>153826</v>
      </c>
      <c r="L306">
        <v>-48578</v>
      </c>
      <c r="M306">
        <v>242780</v>
      </c>
      <c r="N306">
        <v>53291</v>
      </c>
      <c r="O306">
        <v>167363</v>
      </c>
    </row>
    <row r="307" spans="1:15" x14ac:dyDescent="0.3">
      <c r="A307" t="s">
        <v>108</v>
      </c>
      <c r="B307" t="s">
        <v>109</v>
      </c>
      <c r="C307" t="s">
        <v>281</v>
      </c>
      <c r="D307">
        <v>2266716</v>
      </c>
      <c r="E307">
        <v>2341544</v>
      </c>
      <c r="F307">
        <v>2356663</v>
      </c>
      <c r="G307">
        <v>2371360</v>
      </c>
      <c r="H307">
        <v>2383688</v>
      </c>
      <c r="I307">
        <v>2398176</v>
      </c>
      <c r="J307">
        <v>2090591</v>
      </c>
      <c r="K307">
        <v>1997257</v>
      </c>
      <c r="L307">
        <v>1859588</v>
      </c>
      <c r="M307">
        <v>1832842</v>
      </c>
      <c r="N307">
        <v>1598039</v>
      </c>
      <c r="O307">
        <v>1551293</v>
      </c>
    </row>
    <row r="308" spans="1:15" x14ac:dyDescent="0.3">
      <c r="A308" t="s">
        <v>108</v>
      </c>
      <c r="B308" t="s">
        <v>109</v>
      </c>
      <c r="C308" t="s">
        <v>280</v>
      </c>
      <c r="D308">
        <v>2341544</v>
      </c>
      <c r="E308">
        <v>2356370</v>
      </c>
      <c r="F308">
        <v>2371360</v>
      </c>
      <c r="G308">
        <v>2383689</v>
      </c>
      <c r="H308">
        <v>2398176</v>
      </c>
      <c r="I308">
        <v>2090591</v>
      </c>
      <c r="J308">
        <v>1997257</v>
      </c>
      <c r="K308">
        <v>1859587</v>
      </c>
      <c r="L308">
        <v>1914143</v>
      </c>
      <c r="M308">
        <v>1598039</v>
      </c>
      <c r="N308">
        <v>1553173</v>
      </c>
      <c r="O308">
        <v>1389919</v>
      </c>
    </row>
    <row r="309" spans="1:15" x14ac:dyDescent="0.3">
      <c r="A309" t="s">
        <v>108</v>
      </c>
      <c r="B309" t="s">
        <v>109</v>
      </c>
      <c r="C309" t="s">
        <v>284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</row>
    <row r="310" spans="1:15" x14ac:dyDescent="0.3">
      <c r="A310" t="s">
        <v>104</v>
      </c>
      <c r="B310" t="s">
        <v>105</v>
      </c>
      <c r="C310" t="s">
        <v>278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</row>
    <row r="311" spans="1:15" x14ac:dyDescent="0.3">
      <c r="A311" t="s">
        <v>104</v>
      </c>
      <c r="B311" t="s">
        <v>105</v>
      </c>
      <c r="C311" t="s">
        <v>279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</row>
    <row r="312" spans="1:15" x14ac:dyDescent="0.3">
      <c r="A312" t="s">
        <v>104</v>
      </c>
      <c r="B312" t="s">
        <v>105</v>
      </c>
      <c r="C312" t="s">
        <v>273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</row>
    <row r="313" spans="1:15" hidden="1" x14ac:dyDescent="0.3">
      <c r="A313" t="s">
        <v>104</v>
      </c>
      <c r="B313" t="s">
        <v>105</v>
      </c>
      <c r="C313" t="s">
        <v>282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</row>
    <row r="314" spans="1:15" x14ac:dyDescent="0.3">
      <c r="A314" t="s">
        <v>104</v>
      </c>
      <c r="B314" t="s">
        <v>105</v>
      </c>
      <c r="C314" t="s">
        <v>274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8237</v>
      </c>
      <c r="J314">
        <v>1592</v>
      </c>
      <c r="K314">
        <v>3880</v>
      </c>
      <c r="L314">
        <v>0</v>
      </c>
      <c r="M314">
        <v>3006</v>
      </c>
      <c r="N314">
        <v>47981</v>
      </c>
      <c r="O314">
        <v>10423</v>
      </c>
    </row>
    <row r="315" spans="1:15" x14ac:dyDescent="0.3">
      <c r="A315" t="s">
        <v>104</v>
      </c>
      <c r="B315" t="s">
        <v>105</v>
      </c>
      <c r="C315" t="s">
        <v>275</v>
      </c>
      <c r="D315">
        <v>0</v>
      </c>
      <c r="E315">
        <v>0</v>
      </c>
      <c r="F315">
        <v>0</v>
      </c>
      <c r="G315">
        <v>0</v>
      </c>
      <c r="H315">
        <v>8237</v>
      </c>
      <c r="I315">
        <v>1592</v>
      </c>
      <c r="J315">
        <v>3880</v>
      </c>
      <c r="K315">
        <v>0</v>
      </c>
      <c r="L315">
        <v>3006</v>
      </c>
      <c r="M315">
        <v>47981</v>
      </c>
      <c r="N315">
        <v>10423</v>
      </c>
      <c r="O315">
        <v>21132</v>
      </c>
    </row>
    <row r="316" spans="1:15" hidden="1" x14ac:dyDescent="0.3">
      <c r="A316" t="s">
        <v>104</v>
      </c>
      <c r="B316" t="s">
        <v>105</v>
      </c>
      <c r="C316" t="s">
        <v>277</v>
      </c>
      <c r="D316">
        <v>0</v>
      </c>
      <c r="E316">
        <v>0</v>
      </c>
      <c r="F316">
        <v>0</v>
      </c>
      <c r="G316">
        <v>0</v>
      </c>
      <c r="H316">
        <v>8237</v>
      </c>
      <c r="I316">
        <v>0</v>
      </c>
      <c r="J316">
        <v>2616</v>
      </c>
      <c r="K316">
        <v>0</v>
      </c>
      <c r="L316">
        <v>3006</v>
      </c>
      <c r="M316">
        <v>0</v>
      </c>
      <c r="N316">
        <v>8405</v>
      </c>
      <c r="O316">
        <v>12727</v>
      </c>
    </row>
    <row r="317" spans="1:15" x14ac:dyDescent="0.3">
      <c r="A317" t="s">
        <v>104</v>
      </c>
      <c r="B317" t="s">
        <v>105</v>
      </c>
      <c r="C317" t="s">
        <v>276</v>
      </c>
      <c r="D317">
        <v>0</v>
      </c>
      <c r="E317">
        <v>0</v>
      </c>
      <c r="F317">
        <v>0</v>
      </c>
      <c r="G317">
        <v>0</v>
      </c>
      <c r="H317">
        <v>-8237</v>
      </c>
      <c r="I317">
        <v>6645</v>
      </c>
      <c r="J317">
        <v>-2288</v>
      </c>
      <c r="K317">
        <v>3880</v>
      </c>
      <c r="L317">
        <v>-3006</v>
      </c>
      <c r="M317">
        <v>-44975</v>
      </c>
      <c r="N317">
        <v>37558</v>
      </c>
      <c r="O317">
        <v>-10709</v>
      </c>
    </row>
    <row r="318" spans="1:15" x14ac:dyDescent="0.3">
      <c r="A318" t="s">
        <v>104</v>
      </c>
      <c r="B318" t="s">
        <v>105</v>
      </c>
      <c r="C318" t="s">
        <v>281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8237</v>
      </c>
      <c r="J318">
        <v>1592</v>
      </c>
      <c r="K318">
        <v>3880</v>
      </c>
      <c r="L318">
        <v>0</v>
      </c>
      <c r="M318">
        <v>3006</v>
      </c>
      <c r="N318">
        <v>47981</v>
      </c>
      <c r="O318">
        <v>10423</v>
      </c>
    </row>
    <row r="319" spans="1:15" x14ac:dyDescent="0.3">
      <c r="A319" t="s">
        <v>104</v>
      </c>
      <c r="B319" t="s">
        <v>105</v>
      </c>
      <c r="C319" t="s">
        <v>280</v>
      </c>
      <c r="D319">
        <v>0</v>
      </c>
      <c r="E319">
        <v>0</v>
      </c>
      <c r="F319">
        <v>0</v>
      </c>
      <c r="G319">
        <v>0</v>
      </c>
      <c r="H319">
        <v>8237</v>
      </c>
      <c r="I319">
        <v>1592</v>
      </c>
      <c r="J319">
        <v>3880</v>
      </c>
      <c r="K319">
        <v>0</v>
      </c>
      <c r="L319">
        <v>3006</v>
      </c>
      <c r="M319">
        <v>47981</v>
      </c>
      <c r="N319">
        <v>10423</v>
      </c>
      <c r="O319">
        <v>21132</v>
      </c>
    </row>
    <row r="320" spans="1:15" x14ac:dyDescent="0.3">
      <c r="A320" t="s">
        <v>104</v>
      </c>
      <c r="B320" t="s">
        <v>105</v>
      </c>
      <c r="C320" t="s">
        <v>284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</row>
    <row r="321" spans="1:15" x14ac:dyDescent="0.3">
      <c r="A321" t="s">
        <v>114</v>
      </c>
      <c r="B321" t="s">
        <v>115</v>
      </c>
      <c r="C321" t="s">
        <v>278</v>
      </c>
      <c r="D321">
        <v>868</v>
      </c>
      <c r="E321">
        <v>868</v>
      </c>
      <c r="F321">
        <v>868</v>
      </c>
      <c r="G321">
        <v>868</v>
      </c>
      <c r="H321">
        <v>868</v>
      </c>
      <c r="I321">
        <v>868</v>
      </c>
      <c r="J321">
        <v>868</v>
      </c>
      <c r="K321">
        <v>868</v>
      </c>
      <c r="L321">
        <v>868</v>
      </c>
      <c r="M321">
        <v>868</v>
      </c>
      <c r="N321">
        <v>868</v>
      </c>
      <c r="O321">
        <v>868</v>
      </c>
    </row>
    <row r="322" spans="1:15" x14ac:dyDescent="0.3">
      <c r="A322" t="s">
        <v>114</v>
      </c>
      <c r="B322" t="s">
        <v>115</v>
      </c>
      <c r="C322" t="s">
        <v>279</v>
      </c>
      <c r="D322">
        <v>868</v>
      </c>
      <c r="E322">
        <v>868</v>
      </c>
      <c r="F322">
        <v>868</v>
      </c>
      <c r="G322">
        <v>868</v>
      </c>
      <c r="H322">
        <v>868</v>
      </c>
      <c r="I322">
        <v>868</v>
      </c>
      <c r="J322">
        <v>868</v>
      </c>
      <c r="K322">
        <v>868</v>
      </c>
      <c r="L322">
        <v>868</v>
      </c>
      <c r="M322">
        <v>868</v>
      </c>
      <c r="N322">
        <v>868</v>
      </c>
      <c r="O322">
        <v>868</v>
      </c>
    </row>
    <row r="323" spans="1:15" x14ac:dyDescent="0.3">
      <c r="A323" t="s">
        <v>114</v>
      </c>
      <c r="B323" t="s">
        <v>115</v>
      </c>
      <c r="C323" t="s">
        <v>273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</row>
    <row r="324" spans="1:15" hidden="1" x14ac:dyDescent="0.3">
      <c r="A324" t="s">
        <v>114</v>
      </c>
      <c r="B324" t="s">
        <v>115</v>
      </c>
      <c r="C324" t="s">
        <v>282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</row>
    <row r="325" spans="1:15" x14ac:dyDescent="0.3">
      <c r="A325" t="s">
        <v>114</v>
      </c>
      <c r="B325" t="s">
        <v>115</v>
      </c>
      <c r="C325" t="s">
        <v>274</v>
      </c>
      <c r="D325">
        <v>47127</v>
      </c>
      <c r="E325">
        <v>65127</v>
      </c>
      <c r="F325">
        <v>65127</v>
      </c>
      <c r="G325">
        <v>65127</v>
      </c>
      <c r="H325">
        <v>65127</v>
      </c>
      <c r="I325">
        <v>65127</v>
      </c>
      <c r="J325">
        <v>69147</v>
      </c>
      <c r="K325">
        <v>69147</v>
      </c>
      <c r="L325">
        <v>69147</v>
      </c>
      <c r="M325">
        <v>69147</v>
      </c>
      <c r="N325">
        <v>90132</v>
      </c>
      <c r="O325">
        <v>213012</v>
      </c>
    </row>
    <row r="326" spans="1:15" x14ac:dyDescent="0.3">
      <c r="A326" t="s">
        <v>114</v>
      </c>
      <c r="B326" t="s">
        <v>115</v>
      </c>
      <c r="C326" t="s">
        <v>275</v>
      </c>
      <c r="D326">
        <v>65127</v>
      </c>
      <c r="E326">
        <v>65127</v>
      </c>
      <c r="F326">
        <v>65127</v>
      </c>
      <c r="G326">
        <v>65127</v>
      </c>
      <c r="H326">
        <v>65127</v>
      </c>
      <c r="I326">
        <v>69147</v>
      </c>
      <c r="J326">
        <v>69147</v>
      </c>
      <c r="K326">
        <v>69147</v>
      </c>
      <c r="L326">
        <v>69147</v>
      </c>
      <c r="M326">
        <v>90132</v>
      </c>
      <c r="N326">
        <v>213012</v>
      </c>
      <c r="O326">
        <v>90710</v>
      </c>
    </row>
    <row r="327" spans="1:15" hidden="1" x14ac:dyDescent="0.3">
      <c r="A327" t="s">
        <v>114</v>
      </c>
      <c r="B327" t="s">
        <v>115</v>
      </c>
      <c r="C327" t="s">
        <v>277</v>
      </c>
      <c r="D327">
        <v>18000</v>
      </c>
      <c r="E327">
        <v>0</v>
      </c>
      <c r="F327">
        <v>0</v>
      </c>
      <c r="G327">
        <v>0</v>
      </c>
      <c r="H327">
        <v>0</v>
      </c>
      <c r="I327">
        <v>4020</v>
      </c>
      <c r="J327">
        <v>0</v>
      </c>
      <c r="K327">
        <v>0</v>
      </c>
      <c r="L327">
        <v>0</v>
      </c>
      <c r="M327">
        <v>20985</v>
      </c>
      <c r="N327">
        <v>122880</v>
      </c>
      <c r="O327">
        <v>0</v>
      </c>
    </row>
    <row r="328" spans="1:15" x14ac:dyDescent="0.3">
      <c r="A328" t="s">
        <v>114</v>
      </c>
      <c r="B328" t="s">
        <v>115</v>
      </c>
      <c r="C328" t="s">
        <v>276</v>
      </c>
      <c r="D328">
        <v>-18000</v>
      </c>
      <c r="E328">
        <v>0</v>
      </c>
      <c r="F328">
        <v>0</v>
      </c>
      <c r="G328">
        <v>0</v>
      </c>
      <c r="H328">
        <v>0</v>
      </c>
      <c r="I328">
        <v>-4020</v>
      </c>
      <c r="J328">
        <v>0</v>
      </c>
      <c r="K328">
        <v>0</v>
      </c>
      <c r="L328">
        <v>0</v>
      </c>
      <c r="M328">
        <v>-20985</v>
      </c>
      <c r="N328">
        <v>-122880</v>
      </c>
      <c r="O328">
        <v>122302</v>
      </c>
    </row>
    <row r="329" spans="1:15" x14ac:dyDescent="0.3">
      <c r="A329" t="s">
        <v>114</v>
      </c>
      <c r="B329" t="s">
        <v>115</v>
      </c>
      <c r="C329" t="s">
        <v>281</v>
      </c>
      <c r="D329">
        <v>46259</v>
      </c>
      <c r="E329">
        <v>64259</v>
      </c>
      <c r="F329">
        <v>64259</v>
      </c>
      <c r="G329">
        <v>64259</v>
      </c>
      <c r="H329">
        <v>64259</v>
      </c>
      <c r="I329">
        <v>64259</v>
      </c>
      <c r="J329">
        <v>68279</v>
      </c>
      <c r="K329">
        <v>68279</v>
      </c>
      <c r="L329">
        <v>68279</v>
      </c>
      <c r="M329">
        <v>68279</v>
      </c>
      <c r="N329">
        <v>89264</v>
      </c>
      <c r="O329">
        <v>212144</v>
      </c>
    </row>
    <row r="330" spans="1:15" x14ac:dyDescent="0.3">
      <c r="A330" t="s">
        <v>114</v>
      </c>
      <c r="B330" t="s">
        <v>115</v>
      </c>
      <c r="C330" t="s">
        <v>280</v>
      </c>
      <c r="D330">
        <v>64259</v>
      </c>
      <c r="E330">
        <v>64259</v>
      </c>
      <c r="F330">
        <v>64259</v>
      </c>
      <c r="G330">
        <v>64259</v>
      </c>
      <c r="H330">
        <v>64259</v>
      </c>
      <c r="I330">
        <v>68279</v>
      </c>
      <c r="J330">
        <v>68279</v>
      </c>
      <c r="K330">
        <v>68279</v>
      </c>
      <c r="L330">
        <v>68279</v>
      </c>
      <c r="M330">
        <v>89264</v>
      </c>
      <c r="N330">
        <v>212144</v>
      </c>
      <c r="O330">
        <v>89842</v>
      </c>
    </row>
    <row r="331" spans="1:15" x14ac:dyDescent="0.3">
      <c r="A331" t="s">
        <v>114</v>
      </c>
      <c r="B331" t="s">
        <v>115</v>
      </c>
      <c r="C331" t="s">
        <v>284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1D220-AFB4-41F8-90B0-6947F1C96D50}">
  <dimension ref="A1:O332"/>
  <sheetViews>
    <sheetView topLeftCell="E120" zoomScale="99" workbookViewId="0">
      <selection activeCell="V329" sqref="V329"/>
    </sheetView>
  </sheetViews>
  <sheetFormatPr defaultRowHeight="14.4" x14ac:dyDescent="0.3"/>
  <cols>
    <col min="1" max="1" width="11.77734375" bestFit="1" customWidth="1"/>
    <col min="2" max="2" width="29" bestFit="1" customWidth="1"/>
    <col min="3" max="3" width="59.33203125" bestFit="1" customWidth="1"/>
    <col min="4" max="5" width="9.44140625" customWidth="1"/>
    <col min="6" max="15" width="8.77734375" customWidth="1"/>
    <col min="16" max="23" width="8.21875" bestFit="1" customWidth="1"/>
    <col min="24" max="27" width="9.21875" bestFit="1" customWidth="1"/>
  </cols>
  <sheetData>
    <row r="1" spans="1:15" x14ac:dyDescent="0.3">
      <c r="A1" t="s">
        <v>1</v>
      </c>
      <c r="B1" t="s">
        <v>2</v>
      </c>
      <c r="C1" t="s">
        <v>260</v>
      </c>
      <c r="D1" t="s">
        <v>261</v>
      </c>
      <c r="E1" t="s">
        <v>262</v>
      </c>
      <c r="F1" t="s">
        <v>263</v>
      </c>
      <c r="G1" t="s">
        <v>264</v>
      </c>
      <c r="H1" t="s">
        <v>265</v>
      </c>
      <c r="I1" t="s">
        <v>266</v>
      </c>
      <c r="J1" t="s">
        <v>267</v>
      </c>
      <c r="K1" t="s">
        <v>268</v>
      </c>
      <c r="L1" t="s">
        <v>269</v>
      </c>
      <c r="M1" t="s">
        <v>270</v>
      </c>
      <c r="N1" t="s">
        <v>271</v>
      </c>
      <c r="O1" t="s">
        <v>272</v>
      </c>
    </row>
    <row r="2" spans="1:15" x14ac:dyDescent="0.3">
      <c r="A2" t="s">
        <v>49</v>
      </c>
      <c r="B2" t="s">
        <v>50</v>
      </c>
      <c r="C2" t="s">
        <v>278</v>
      </c>
      <c r="D2" s="15">
        <v>415602</v>
      </c>
      <c r="E2" s="15">
        <v>376440</v>
      </c>
      <c r="F2">
        <v>337594</v>
      </c>
      <c r="G2">
        <v>302806</v>
      </c>
      <c r="H2">
        <v>272404</v>
      </c>
      <c r="I2">
        <v>243747</v>
      </c>
      <c r="J2">
        <v>215325</v>
      </c>
      <c r="K2">
        <v>190220</v>
      </c>
      <c r="L2">
        <v>170083</v>
      </c>
      <c r="M2" s="15">
        <v>148312</v>
      </c>
      <c r="N2">
        <v>126649</v>
      </c>
      <c r="O2">
        <v>104957</v>
      </c>
    </row>
    <row r="3" spans="1:15" x14ac:dyDescent="0.3">
      <c r="A3" t="s">
        <v>49</v>
      </c>
      <c r="B3" t="s">
        <v>50</v>
      </c>
      <c r="C3" t="s">
        <v>279</v>
      </c>
      <c r="D3" s="15">
        <v>376121</v>
      </c>
      <c r="E3">
        <v>337594</v>
      </c>
      <c r="F3">
        <v>302806</v>
      </c>
      <c r="G3">
        <v>272404</v>
      </c>
      <c r="H3">
        <v>243747</v>
      </c>
      <c r="I3">
        <v>215325</v>
      </c>
      <c r="J3">
        <v>190220</v>
      </c>
      <c r="K3">
        <v>170083</v>
      </c>
      <c r="L3" s="15">
        <v>148312</v>
      </c>
      <c r="M3">
        <v>126649</v>
      </c>
      <c r="N3">
        <v>104957</v>
      </c>
      <c r="O3">
        <v>83743</v>
      </c>
    </row>
    <row r="4" spans="1:15" x14ac:dyDescent="0.3">
      <c r="A4" t="s">
        <v>49</v>
      </c>
      <c r="B4" t="s">
        <v>50</v>
      </c>
      <c r="C4" t="s">
        <v>273</v>
      </c>
      <c r="D4" s="15">
        <v>39481</v>
      </c>
      <c r="E4">
        <v>38846</v>
      </c>
      <c r="F4">
        <v>34788</v>
      </c>
      <c r="G4">
        <v>30402</v>
      </c>
      <c r="H4">
        <v>28657</v>
      </c>
      <c r="I4">
        <v>28422</v>
      </c>
      <c r="J4">
        <v>25105</v>
      </c>
      <c r="K4">
        <v>20137</v>
      </c>
      <c r="L4" s="15">
        <v>21771</v>
      </c>
      <c r="M4">
        <v>21663</v>
      </c>
      <c r="N4">
        <v>21692</v>
      </c>
      <c r="O4">
        <v>21214</v>
      </c>
    </row>
    <row r="5" spans="1:15" hidden="1" x14ac:dyDescent="0.3">
      <c r="A5" t="s">
        <v>49</v>
      </c>
      <c r="B5" t="s">
        <v>50</v>
      </c>
      <c r="C5" t="s">
        <v>282</v>
      </c>
      <c r="D5" s="15">
        <v>232185</v>
      </c>
      <c r="E5" s="15">
        <v>211140</v>
      </c>
      <c r="F5">
        <v>194863</v>
      </c>
      <c r="G5">
        <v>194863</v>
      </c>
      <c r="H5">
        <v>187811</v>
      </c>
      <c r="I5" s="15">
        <v>168435</v>
      </c>
      <c r="J5">
        <v>140248</v>
      </c>
      <c r="K5" s="15">
        <v>94658</v>
      </c>
      <c r="L5" s="15">
        <v>67424</v>
      </c>
      <c r="M5" s="15">
        <v>37266</v>
      </c>
      <c r="N5" s="15">
        <v>8868</v>
      </c>
      <c r="O5">
        <v>8065</v>
      </c>
    </row>
    <row r="6" spans="1:15" x14ac:dyDescent="0.3">
      <c r="A6" t="s">
        <v>49</v>
      </c>
      <c r="B6" t="s">
        <v>50</v>
      </c>
      <c r="C6" t="s">
        <v>274</v>
      </c>
      <c r="D6" s="15">
        <v>544841</v>
      </c>
      <c r="E6" s="15">
        <v>521741</v>
      </c>
      <c r="F6">
        <v>497688</v>
      </c>
      <c r="G6">
        <v>452772</v>
      </c>
      <c r="H6">
        <v>410369</v>
      </c>
      <c r="I6">
        <v>393585</v>
      </c>
      <c r="J6">
        <v>363838</v>
      </c>
      <c r="K6" s="15">
        <v>302543</v>
      </c>
      <c r="L6">
        <v>223878</v>
      </c>
      <c r="M6" s="15">
        <v>203578</v>
      </c>
      <c r="N6">
        <v>193808</v>
      </c>
      <c r="O6">
        <v>186283</v>
      </c>
    </row>
    <row r="7" spans="1:15" x14ac:dyDescent="0.3">
      <c r="A7" t="s">
        <v>49</v>
      </c>
      <c r="B7" t="s">
        <v>50</v>
      </c>
      <c r="C7" t="s">
        <v>275</v>
      </c>
      <c r="D7" s="15">
        <v>521741</v>
      </c>
      <c r="E7" s="15">
        <v>497688</v>
      </c>
      <c r="F7">
        <v>452772</v>
      </c>
      <c r="G7">
        <v>410369</v>
      </c>
      <c r="H7">
        <v>393585</v>
      </c>
      <c r="I7">
        <v>363838</v>
      </c>
      <c r="J7" s="15">
        <v>302543</v>
      </c>
      <c r="K7">
        <v>223878</v>
      </c>
      <c r="L7" s="15">
        <v>203578</v>
      </c>
      <c r="M7">
        <v>193808</v>
      </c>
      <c r="N7">
        <v>186283</v>
      </c>
      <c r="O7">
        <v>184883</v>
      </c>
    </row>
    <row r="8" spans="1:15" hidden="1" x14ac:dyDescent="0.3">
      <c r="A8" t="s">
        <v>49</v>
      </c>
      <c r="B8" t="s">
        <v>50</v>
      </c>
      <c r="C8" t="s">
        <v>277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</row>
    <row r="9" spans="1:15" x14ac:dyDescent="0.3">
      <c r="A9" t="s">
        <v>49</v>
      </c>
      <c r="B9" t="s">
        <v>50</v>
      </c>
      <c r="C9" t="s">
        <v>276</v>
      </c>
      <c r="D9" s="15">
        <v>23100</v>
      </c>
      <c r="E9">
        <v>24053</v>
      </c>
      <c r="F9">
        <v>44916</v>
      </c>
      <c r="G9">
        <v>42403</v>
      </c>
      <c r="H9">
        <v>16784</v>
      </c>
      <c r="I9">
        <v>29747</v>
      </c>
      <c r="J9" s="15">
        <v>61295</v>
      </c>
      <c r="K9">
        <v>6676</v>
      </c>
      <c r="L9" s="15">
        <v>20300</v>
      </c>
      <c r="M9">
        <v>9770</v>
      </c>
      <c r="N9">
        <v>0</v>
      </c>
      <c r="O9">
        <v>1400</v>
      </c>
    </row>
    <row r="10" spans="1:15" x14ac:dyDescent="0.3">
      <c r="A10" t="s">
        <v>49</v>
      </c>
      <c r="B10" t="s">
        <v>50</v>
      </c>
      <c r="C10" t="s">
        <v>281</v>
      </c>
      <c r="D10" s="15">
        <v>129239</v>
      </c>
      <c r="E10" s="15">
        <v>145301</v>
      </c>
      <c r="F10">
        <v>160094</v>
      </c>
      <c r="G10">
        <v>149966</v>
      </c>
      <c r="H10">
        <v>137965</v>
      </c>
      <c r="I10" s="15">
        <v>149838</v>
      </c>
      <c r="J10">
        <v>148513</v>
      </c>
      <c r="K10" s="15">
        <v>112323</v>
      </c>
      <c r="L10" s="15">
        <v>53795</v>
      </c>
      <c r="M10" s="15">
        <v>55266</v>
      </c>
      <c r="N10">
        <v>67159</v>
      </c>
      <c r="O10">
        <v>81326</v>
      </c>
    </row>
    <row r="11" spans="1:15" x14ac:dyDescent="0.3">
      <c r="A11" t="s">
        <v>49</v>
      </c>
      <c r="B11" t="s">
        <v>50</v>
      </c>
      <c r="C11" t="s">
        <v>280</v>
      </c>
      <c r="D11" s="15">
        <v>145620</v>
      </c>
      <c r="E11" s="15">
        <v>160094</v>
      </c>
      <c r="F11">
        <v>149966</v>
      </c>
      <c r="G11">
        <v>137965</v>
      </c>
      <c r="H11" s="15">
        <v>149838</v>
      </c>
      <c r="I11">
        <v>148513</v>
      </c>
      <c r="J11" s="15">
        <v>112323</v>
      </c>
      <c r="K11" s="15">
        <v>53795</v>
      </c>
      <c r="L11" s="15">
        <v>55266</v>
      </c>
      <c r="M11">
        <v>67159</v>
      </c>
      <c r="N11">
        <v>81326</v>
      </c>
      <c r="O11">
        <v>101140</v>
      </c>
    </row>
    <row r="12" spans="1:15" x14ac:dyDescent="0.3">
      <c r="A12" t="s">
        <v>49</v>
      </c>
      <c r="B12" t="s">
        <v>50</v>
      </c>
      <c r="C12" t="s">
        <v>284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71989</v>
      </c>
      <c r="L12">
        <v>0</v>
      </c>
      <c r="M12">
        <v>0</v>
      </c>
      <c r="N12">
        <v>7525</v>
      </c>
      <c r="O12">
        <v>0</v>
      </c>
    </row>
    <row r="13" spans="1:15" x14ac:dyDescent="0.3">
      <c r="A13" t="s">
        <v>16</v>
      </c>
      <c r="B13" t="s">
        <v>16</v>
      </c>
      <c r="C13" t="s">
        <v>278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</row>
    <row r="14" spans="1:15" x14ac:dyDescent="0.3">
      <c r="A14" t="s">
        <v>16</v>
      </c>
      <c r="B14" t="s">
        <v>16</v>
      </c>
      <c r="C14" t="s">
        <v>279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</row>
    <row r="15" spans="1:15" x14ac:dyDescent="0.3">
      <c r="A15" t="s">
        <v>16</v>
      </c>
      <c r="B15" t="s">
        <v>16</v>
      </c>
      <c r="C15" t="s">
        <v>273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</row>
    <row r="16" spans="1:15" hidden="1" x14ac:dyDescent="0.3">
      <c r="A16" t="s">
        <v>16</v>
      </c>
      <c r="B16" t="s">
        <v>16</v>
      </c>
      <c r="C16" t="s">
        <v>282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</row>
    <row r="17" spans="1:15" x14ac:dyDescent="0.3">
      <c r="A17" t="s">
        <v>16</v>
      </c>
      <c r="B17" t="s">
        <v>16</v>
      </c>
      <c r="C17" t="s">
        <v>274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</row>
    <row r="18" spans="1:15" x14ac:dyDescent="0.3">
      <c r="A18" t="s">
        <v>16</v>
      </c>
      <c r="B18" t="s">
        <v>16</v>
      </c>
      <c r="C18" t="s">
        <v>275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</row>
    <row r="19" spans="1:15" hidden="1" x14ac:dyDescent="0.3">
      <c r="A19" t="s">
        <v>16</v>
      </c>
      <c r="B19" t="s">
        <v>16</v>
      </c>
      <c r="C19" t="s">
        <v>277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</row>
    <row r="20" spans="1:15" x14ac:dyDescent="0.3">
      <c r="A20" t="s">
        <v>16</v>
      </c>
      <c r="B20" t="s">
        <v>16</v>
      </c>
      <c r="C20" t="s">
        <v>276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</row>
    <row r="21" spans="1:15" x14ac:dyDescent="0.3">
      <c r="A21" t="s">
        <v>16</v>
      </c>
      <c r="B21" t="s">
        <v>16</v>
      </c>
      <c r="C21" t="s">
        <v>281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</row>
    <row r="22" spans="1:15" x14ac:dyDescent="0.3">
      <c r="A22" t="s">
        <v>16</v>
      </c>
      <c r="B22" t="s">
        <v>16</v>
      </c>
      <c r="C22" t="s">
        <v>280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</row>
    <row r="23" spans="1:15" x14ac:dyDescent="0.3">
      <c r="A23" t="s">
        <v>16</v>
      </c>
      <c r="B23" t="s">
        <v>16</v>
      </c>
      <c r="C23" t="s">
        <v>284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</row>
    <row r="24" spans="1:15" x14ac:dyDescent="0.3">
      <c r="A24" t="s">
        <v>18</v>
      </c>
      <c r="B24" t="s">
        <v>19</v>
      </c>
      <c r="C24" t="s">
        <v>278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</row>
    <row r="25" spans="1:15" x14ac:dyDescent="0.3">
      <c r="A25" t="s">
        <v>18</v>
      </c>
      <c r="B25" t="s">
        <v>19</v>
      </c>
      <c r="C25" t="s">
        <v>279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</row>
    <row r="26" spans="1:15" x14ac:dyDescent="0.3">
      <c r="A26" t="s">
        <v>18</v>
      </c>
      <c r="B26" t="s">
        <v>19</v>
      </c>
      <c r="C26" t="s">
        <v>273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</row>
    <row r="27" spans="1:15" hidden="1" x14ac:dyDescent="0.3">
      <c r="A27" t="s">
        <v>18</v>
      </c>
      <c r="B27" t="s">
        <v>19</v>
      </c>
      <c r="C27" t="s">
        <v>282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</row>
    <row r="28" spans="1:15" x14ac:dyDescent="0.3">
      <c r="A28" t="s">
        <v>18</v>
      </c>
      <c r="B28" t="s">
        <v>19</v>
      </c>
      <c r="C28" t="s">
        <v>274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</row>
    <row r="29" spans="1:15" x14ac:dyDescent="0.3">
      <c r="A29" t="s">
        <v>18</v>
      </c>
      <c r="B29" t="s">
        <v>19</v>
      </c>
      <c r="C29" t="s">
        <v>275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</row>
    <row r="30" spans="1:15" hidden="1" x14ac:dyDescent="0.3">
      <c r="A30" t="s">
        <v>18</v>
      </c>
      <c r="B30" t="s">
        <v>19</v>
      </c>
      <c r="C30" t="s">
        <v>277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</row>
    <row r="31" spans="1:15" x14ac:dyDescent="0.3">
      <c r="A31" t="s">
        <v>18</v>
      </c>
      <c r="B31" t="s">
        <v>19</v>
      </c>
      <c r="C31" t="s">
        <v>276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</row>
    <row r="32" spans="1:15" x14ac:dyDescent="0.3">
      <c r="A32" t="s">
        <v>18</v>
      </c>
      <c r="B32" t="s">
        <v>19</v>
      </c>
      <c r="C32" t="s">
        <v>281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</row>
    <row r="33" spans="1:15" x14ac:dyDescent="0.3">
      <c r="A33" t="s">
        <v>18</v>
      </c>
      <c r="B33" t="s">
        <v>19</v>
      </c>
      <c r="C33" t="s">
        <v>280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</row>
    <row r="34" spans="1:15" x14ac:dyDescent="0.3">
      <c r="A34" t="s">
        <v>18</v>
      </c>
      <c r="B34" t="s">
        <v>19</v>
      </c>
      <c r="C34" t="s">
        <v>284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</row>
    <row r="35" spans="1:15" x14ac:dyDescent="0.3">
      <c r="A35" t="s">
        <v>58</v>
      </c>
      <c r="B35" t="s">
        <v>59</v>
      </c>
      <c r="C35" t="s">
        <v>278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</row>
    <row r="36" spans="1:15" x14ac:dyDescent="0.3">
      <c r="A36" t="s">
        <v>58</v>
      </c>
      <c r="B36" t="s">
        <v>59</v>
      </c>
      <c r="C36" t="s">
        <v>279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</row>
    <row r="37" spans="1:15" x14ac:dyDescent="0.3">
      <c r="A37" t="s">
        <v>58</v>
      </c>
      <c r="B37" t="s">
        <v>59</v>
      </c>
      <c r="C37" t="s">
        <v>273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</row>
    <row r="38" spans="1:15" hidden="1" x14ac:dyDescent="0.3">
      <c r="A38" t="s">
        <v>58</v>
      </c>
      <c r="B38" t="s">
        <v>59</v>
      </c>
      <c r="C38" t="s">
        <v>282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</row>
    <row r="39" spans="1:15" x14ac:dyDescent="0.3">
      <c r="A39" t="s">
        <v>58</v>
      </c>
      <c r="B39" t="s">
        <v>59</v>
      </c>
      <c r="C39" t="s">
        <v>274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</row>
    <row r="40" spans="1:15" x14ac:dyDescent="0.3">
      <c r="A40" t="s">
        <v>58</v>
      </c>
      <c r="B40" t="s">
        <v>59</v>
      </c>
      <c r="C40" t="s">
        <v>275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</row>
    <row r="41" spans="1:15" hidden="1" x14ac:dyDescent="0.3">
      <c r="A41" t="s">
        <v>58</v>
      </c>
      <c r="B41" t="s">
        <v>59</v>
      </c>
      <c r="C41" t="s">
        <v>277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</row>
    <row r="42" spans="1:15" x14ac:dyDescent="0.3">
      <c r="A42" t="s">
        <v>58</v>
      </c>
      <c r="B42" t="s">
        <v>59</v>
      </c>
      <c r="C42" t="s">
        <v>276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</row>
    <row r="43" spans="1:15" x14ac:dyDescent="0.3">
      <c r="A43" t="s">
        <v>58</v>
      </c>
      <c r="B43" t="s">
        <v>59</v>
      </c>
      <c r="C43" t="s">
        <v>281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</row>
    <row r="44" spans="1:15" x14ac:dyDescent="0.3">
      <c r="A44" t="s">
        <v>58</v>
      </c>
      <c r="B44" t="s">
        <v>59</v>
      </c>
      <c r="C44" t="s">
        <v>280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</row>
    <row r="45" spans="1:15" x14ac:dyDescent="0.3">
      <c r="A45" t="s">
        <v>58</v>
      </c>
      <c r="B45" t="s">
        <v>59</v>
      </c>
      <c r="C45" t="s">
        <v>284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</row>
    <row r="46" spans="1:15" x14ac:dyDescent="0.3">
      <c r="A46" t="s">
        <v>56</v>
      </c>
      <c r="B46" t="s">
        <v>57</v>
      </c>
      <c r="C46" t="s">
        <v>278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</row>
    <row r="47" spans="1:15" x14ac:dyDescent="0.3">
      <c r="A47" t="s">
        <v>56</v>
      </c>
      <c r="B47" t="s">
        <v>57</v>
      </c>
      <c r="C47" t="s">
        <v>279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</row>
    <row r="48" spans="1:15" x14ac:dyDescent="0.3">
      <c r="A48" t="s">
        <v>56</v>
      </c>
      <c r="B48" t="s">
        <v>57</v>
      </c>
      <c r="C48" t="s">
        <v>273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</row>
    <row r="49" spans="1:15" hidden="1" x14ac:dyDescent="0.3">
      <c r="A49" t="s">
        <v>56</v>
      </c>
      <c r="B49" t="s">
        <v>57</v>
      </c>
      <c r="C49" t="s">
        <v>282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</row>
    <row r="50" spans="1:15" x14ac:dyDescent="0.3">
      <c r="A50" t="s">
        <v>56</v>
      </c>
      <c r="B50" t="s">
        <v>57</v>
      </c>
      <c r="C50" t="s">
        <v>274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</row>
    <row r="51" spans="1:15" x14ac:dyDescent="0.3">
      <c r="A51" t="s">
        <v>56</v>
      </c>
      <c r="B51" t="s">
        <v>57</v>
      </c>
      <c r="C51" t="s">
        <v>275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</row>
    <row r="52" spans="1:15" hidden="1" x14ac:dyDescent="0.3">
      <c r="A52" t="s">
        <v>56</v>
      </c>
      <c r="B52" t="s">
        <v>57</v>
      </c>
      <c r="C52" t="s">
        <v>277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</row>
    <row r="53" spans="1:15" x14ac:dyDescent="0.3">
      <c r="A53" t="s">
        <v>56</v>
      </c>
      <c r="B53" t="s">
        <v>57</v>
      </c>
      <c r="C53" t="s">
        <v>276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</row>
    <row r="54" spans="1:15" x14ac:dyDescent="0.3">
      <c r="A54" t="s">
        <v>56</v>
      </c>
      <c r="B54" t="s">
        <v>57</v>
      </c>
      <c r="C54" t="s">
        <v>281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</row>
    <row r="55" spans="1:15" x14ac:dyDescent="0.3">
      <c r="A55" t="s">
        <v>56</v>
      </c>
      <c r="B55" t="s">
        <v>57</v>
      </c>
      <c r="C55" t="s">
        <v>280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</row>
    <row r="56" spans="1:15" x14ac:dyDescent="0.3">
      <c r="A56" t="s">
        <v>56</v>
      </c>
      <c r="B56" t="s">
        <v>57</v>
      </c>
      <c r="C56" t="s">
        <v>284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</row>
    <row r="57" spans="1:15" x14ac:dyDescent="0.3">
      <c r="A57" t="s">
        <v>27</v>
      </c>
      <c r="B57" t="s">
        <v>28</v>
      </c>
      <c r="C57" t="s">
        <v>278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</row>
    <row r="58" spans="1:15" x14ac:dyDescent="0.3">
      <c r="A58" t="s">
        <v>27</v>
      </c>
      <c r="B58" t="s">
        <v>28</v>
      </c>
      <c r="C58" t="s">
        <v>279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</row>
    <row r="59" spans="1:15" x14ac:dyDescent="0.3">
      <c r="A59" t="s">
        <v>27</v>
      </c>
      <c r="B59" t="s">
        <v>28</v>
      </c>
      <c r="C59" t="s">
        <v>273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</row>
    <row r="60" spans="1:15" hidden="1" x14ac:dyDescent="0.3">
      <c r="A60" t="s">
        <v>27</v>
      </c>
      <c r="B60" t="s">
        <v>28</v>
      </c>
      <c r="C60" t="s">
        <v>282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</row>
    <row r="61" spans="1:15" x14ac:dyDescent="0.3">
      <c r="A61" t="s">
        <v>27</v>
      </c>
      <c r="B61" t="s">
        <v>28</v>
      </c>
      <c r="C61" t="s">
        <v>274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</row>
    <row r="62" spans="1:15" x14ac:dyDescent="0.3">
      <c r="A62" t="s">
        <v>27</v>
      </c>
      <c r="B62" t="s">
        <v>28</v>
      </c>
      <c r="C62" t="s">
        <v>275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</row>
    <row r="63" spans="1:15" hidden="1" x14ac:dyDescent="0.3">
      <c r="A63" t="s">
        <v>27</v>
      </c>
      <c r="B63" t="s">
        <v>28</v>
      </c>
      <c r="C63" t="s">
        <v>277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</row>
    <row r="64" spans="1:15" x14ac:dyDescent="0.3">
      <c r="A64" t="s">
        <v>27</v>
      </c>
      <c r="B64" t="s">
        <v>28</v>
      </c>
      <c r="C64" t="s">
        <v>276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</row>
    <row r="65" spans="1:15" x14ac:dyDescent="0.3">
      <c r="A65" t="s">
        <v>27</v>
      </c>
      <c r="B65" t="s">
        <v>28</v>
      </c>
      <c r="C65" t="s">
        <v>281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</row>
    <row r="66" spans="1:15" x14ac:dyDescent="0.3">
      <c r="A66" t="s">
        <v>27</v>
      </c>
      <c r="B66" t="s">
        <v>28</v>
      </c>
      <c r="C66" t="s">
        <v>280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</row>
    <row r="67" spans="1:15" x14ac:dyDescent="0.3">
      <c r="A67" t="s">
        <v>27</v>
      </c>
      <c r="B67" t="s">
        <v>28</v>
      </c>
      <c r="C67" t="s">
        <v>284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</row>
    <row r="68" spans="1:15" x14ac:dyDescent="0.3">
      <c r="A68" t="s">
        <v>54</v>
      </c>
      <c r="B68" t="s">
        <v>55</v>
      </c>
      <c r="C68" t="s">
        <v>278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</row>
    <row r="69" spans="1:15" x14ac:dyDescent="0.3">
      <c r="A69" t="s">
        <v>54</v>
      </c>
      <c r="B69" t="s">
        <v>55</v>
      </c>
      <c r="C69" t="s">
        <v>279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</row>
    <row r="70" spans="1:15" x14ac:dyDescent="0.3">
      <c r="A70" t="s">
        <v>54</v>
      </c>
      <c r="B70" t="s">
        <v>55</v>
      </c>
      <c r="C70" t="s">
        <v>273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</row>
    <row r="71" spans="1:15" hidden="1" x14ac:dyDescent="0.3">
      <c r="A71" t="s">
        <v>54</v>
      </c>
      <c r="B71" t="s">
        <v>55</v>
      </c>
      <c r="C71" t="s">
        <v>282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</row>
    <row r="72" spans="1:15" x14ac:dyDescent="0.3">
      <c r="A72" t="s">
        <v>54</v>
      </c>
      <c r="B72" t="s">
        <v>55</v>
      </c>
      <c r="C72" t="s">
        <v>274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</row>
    <row r="73" spans="1:15" x14ac:dyDescent="0.3">
      <c r="A73" t="s">
        <v>54</v>
      </c>
      <c r="B73" t="s">
        <v>55</v>
      </c>
      <c r="C73" t="s">
        <v>275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</row>
    <row r="74" spans="1:15" hidden="1" x14ac:dyDescent="0.3">
      <c r="A74" t="s">
        <v>54</v>
      </c>
      <c r="B74" t="s">
        <v>55</v>
      </c>
      <c r="C74" t="s">
        <v>277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</row>
    <row r="75" spans="1:15" x14ac:dyDescent="0.3">
      <c r="A75" t="s">
        <v>54</v>
      </c>
      <c r="B75" t="s">
        <v>55</v>
      </c>
      <c r="C75" t="s">
        <v>276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</row>
    <row r="76" spans="1:15" x14ac:dyDescent="0.3">
      <c r="A76" t="s">
        <v>54</v>
      </c>
      <c r="B76" t="s">
        <v>55</v>
      </c>
      <c r="C76" t="s">
        <v>281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</row>
    <row r="77" spans="1:15" x14ac:dyDescent="0.3">
      <c r="A77" t="s">
        <v>54</v>
      </c>
      <c r="B77" t="s">
        <v>55</v>
      </c>
      <c r="C77" t="s">
        <v>280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</row>
    <row r="78" spans="1:15" x14ac:dyDescent="0.3">
      <c r="A78" t="s">
        <v>54</v>
      </c>
      <c r="B78" t="s">
        <v>55</v>
      </c>
      <c r="C78" t="s">
        <v>284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</row>
    <row r="79" spans="1:15" x14ac:dyDescent="0.3">
      <c r="A79" t="s">
        <v>110</v>
      </c>
      <c r="B79" t="s">
        <v>111</v>
      </c>
      <c r="C79" t="s">
        <v>278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</row>
    <row r="80" spans="1:15" x14ac:dyDescent="0.3">
      <c r="A80" t="s">
        <v>110</v>
      </c>
      <c r="B80" t="s">
        <v>111</v>
      </c>
      <c r="C80" t="s">
        <v>279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</row>
    <row r="81" spans="1:15" x14ac:dyDescent="0.3">
      <c r="A81" t="s">
        <v>110</v>
      </c>
      <c r="B81" t="s">
        <v>111</v>
      </c>
      <c r="C81" t="s">
        <v>273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</row>
    <row r="82" spans="1:15" hidden="1" x14ac:dyDescent="0.3">
      <c r="A82" t="s">
        <v>110</v>
      </c>
      <c r="B82" t="s">
        <v>111</v>
      </c>
      <c r="C82" t="s">
        <v>282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</row>
    <row r="83" spans="1:15" x14ac:dyDescent="0.3">
      <c r="A83" t="s">
        <v>110</v>
      </c>
      <c r="B83" t="s">
        <v>111</v>
      </c>
      <c r="C83" t="s">
        <v>274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</row>
    <row r="84" spans="1:15" x14ac:dyDescent="0.3">
      <c r="A84" t="s">
        <v>110</v>
      </c>
      <c r="B84" t="s">
        <v>111</v>
      </c>
      <c r="C84" t="s">
        <v>275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</row>
    <row r="85" spans="1:15" hidden="1" x14ac:dyDescent="0.3">
      <c r="A85" t="s">
        <v>110</v>
      </c>
      <c r="B85" t="s">
        <v>111</v>
      </c>
      <c r="C85" t="s">
        <v>277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</row>
    <row r="86" spans="1:15" x14ac:dyDescent="0.3">
      <c r="A86" t="s">
        <v>110</v>
      </c>
      <c r="B86" t="s">
        <v>111</v>
      </c>
      <c r="C86" t="s">
        <v>276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</row>
    <row r="87" spans="1:15" x14ac:dyDescent="0.3">
      <c r="A87" t="s">
        <v>110</v>
      </c>
      <c r="B87" t="s">
        <v>111</v>
      </c>
      <c r="C87" t="s">
        <v>281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</row>
    <row r="88" spans="1:15" x14ac:dyDescent="0.3">
      <c r="A88" t="s">
        <v>110</v>
      </c>
      <c r="B88" t="s">
        <v>111</v>
      </c>
      <c r="C88" t="s">
        <v>280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</row>
    <row r="89" spans="1:15" x14ac:dyDescent="0.3">
      <c r="A89" t="s">
        <v>110</v>
      </c>
      <c r="B89" t="s">
        <v>111</v>
      </c>
      <c r="C89" t="s">
        <v>284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</row>
    <row r="90" spans="1:15" x14ac:dyDescent="0.3">
      <c r="A90" t="s">
        <v>29</v>
      </c>
      <c r="B90" t="s">
        <v>30</v>
      </c>
      <c r="C90" t="s">
        <v>278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</row>
    <row r="91" spans="1:15" x14ac:dyDescent="0.3">
      <c r="A91" t="s">
        <v>29</v>
      </c>
      <c r="B91" t="s">
        <v>30</v>
      </c>
      <c r="C91" t="s">
        <v>279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</row>
    <row r="92" spans="1:15" x14ac:dyDescent="0.3">
      <c r="A92" t="s">
        <v>29</v>
      </c>
      <c r="B92" t="s">
        <v>30</v>
      </c>
      <c r="C92" t="s">
        <v>273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</row>
    <row r="93" spans="1:15" hidden="1" x14ac:dyDescent="0.3">
      <c r="A93" t="s">
        <v>29</v>
      </c>
      <c r="B93" t="s">
        <v>30</v>
      </c>
      <c r="C93" t="s">
        <v>282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</row>
    <row r="94" spans="1:15" x14ac:dyDescent="0.3">
      <c r="A94" t="s">
        <v>29</v>
      </c>
      <c r="B94" t="s">
        <v>30</v>
      </c>
      <c r="C94" t="s">
        <v>274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</row>
    <row r="95" spans="1:15" x14ac:dyDescent="0.3">
      <c r="A95" t="s">
        <v>29</v>
      </c>
      <c r="B95" t="s">
        <v>30</v>
      </c>
      <c r="C95" t="s">
        <v>275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</row>
    <row r="96" spans="1:15" hidden="1" x14ac:dyDescent="0.3">
      <c r="A96" t="s">
        <v>29</v>
      </c>
      <c r="B96" t="s">
        <v>30</v>
      </c>
      <c r="C96" t="s">
        <v>277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</row>
    <row r="97" spans="1:15" x14ac:dyDescent="0.3">
      <c r="A97" t="s">
        <v>29</v>
      </c>
      <c r="B97" t="s">
        <v>30</v>
      </c>
      <c r="C97" t="s">
        <v>276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</row>
    <row r="98" spans="1:15" x14ac:dyDescent="0.3">
      <c r="A98" t="s">
        <v>29</v>
      </c>
      <c r="B98" t="s">
        <v>30</v>
      </c>
      <c r="C98" t="s">
        <v>281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</row>
    <row r="99" spans="1:15" x14ac:dyDescent="0.3">
      <c r="A99" t="s">
        <v>29</v>
      </c>
      <c r="B99" t="s">
        <v>30</v>
      </c>
      <c r="C99" t="s">
        <v>280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</row>
    <row r="100" spans="1:15" x14ac:dyDescent="0.3">
      <c r="A100" t="s">
        <v>29</v>
      </c>
      <c r="B100" t="s">
        <v>30</v>
      </c>
      <c r="C100" t="s">
        <v>284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</row>
    <row r="101" spans="1:15" x14ac:dyDescent="0.3">
      <c r="A101" t="s">
        <v>33</v>
      </c>
      <c r="B101" t="s">
        <v>34</v>
      </c>
      <c r="C101" t="s">
        <v>278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</row>
    <row r="102" spans="1:15" x14ac:dyDescent="0.3">
      <c r="A102" t="s">
        <v>33</v>
      </c>
      <c r="B102" t="s">
        <v>34</v>
      </c>
      <c r="C102" t="s">
        <v>279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</row>
    <row r="103" spans="1:15" x14ac:dyDescent="0.3">
      <c r="A103" t="s">
        <v>33</v>
      </c>
      <c r="B103" t="s">
        <v>34</v>
      </c>
      <c r="C103" t="s">
        <v>273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 hidden="1" x14ac:dyDescent="0.3">
      <c r="A104" t="s">
        <v>33</v>
      </c>
      <c r="B104" t="s">
        <v>34</v>
      </c>
      <c r="C104" t="s">
        <v>282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</row>
    <row r="105" spans="1:15" x14ac:dyDescent="0.3">
      <c r="A105" t="s">
        <v>33</v>
      </c>
      <c r="B105" t="s">
        <v>34</v>
      </c>
      <c r="C105" t="s">
        <v>274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</row>
    <row r="106" spans="1:15" x14ac:dyDescent="0.3">
      <c r="A106" t="s">
        <v>33</v>
      </c>
      <c r="B106" t="s">
        <v>34</v>
      </c>
      <c r="C106" t="s">
        <v>275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</row>
    <row r="107" spans="1:15" hidden="1" x14ac:dyDescent="0.3">
      <c r="A107" t="s">
        <v>33</v>
      </c>
      <c r="B107" t="s">
        <v>34</v>
      </c>
      <c r="C107" t="s">
        <v>277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</row>
    <row r="108" spans="1:15" x14ac:dyDescent="0.3">
      <c r="A108" t="s">
        <v>33</v>
      </c>
      <c r="B108" t="s">
        <v>34</v>
      </c>
      <c r="C108" t="s">
        <v>276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</row>
    <row r="109" spans="1:15" x14ac:dyDescent="0.3">
      <c r="A109" t="s">
        <v>33</v>
      </c>
      <c r="B109" t="s">
        <v>34</v>
      </c>
      <c r="C109" t="s">
        <v>281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</row>
    <row r="110" spans="1:15" x14ac:dyDescent="0.3">
      <c r="A110" t="s">
        <v>33</v>
      </c>
      <c r="B110" t="s">
        <v>34</v>
      </c>
      <c r="C110" t="s">
        <v>280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</row>
    <row r="111" spans="1:15" x14ac:dyDescent="0.3">
      <c r="A111" t="s">
        <v>33</v>
      </c>
      <c r="B111" t="s">
        <v>34</v>
      </c>
      <c r="C111" t="s">
        <v>284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</row>
    <row r="112" spans="1:15" x14ac:dyDescent="0.3">
      <c r="A112" t="s">
        <v>37</v>
      </c>
      <c r="B112" t="s">
        <v>38</v>
      </c>
      <c r="C112" t="s">
        <v>278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</row>
    <row r="113" spans="1:15" x14ac:dyDescent="0.3">
      <c r="A113" t="s">
        <v>37</v>
      </c>
      <c r="B113" t="s">
        <v>38</v>
      </c>
      <c r="C113" t="s">
        <v>279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</row>
    <row r="114" spans="1:15" x14ac:dyDescent="0.3">
      <c r="A114" t="s">
        <v>37</v>
      </c>
      <c r="B114" t="s">
        <v>38</v>
      </c>
      <c r="C114" t="s">
        <v>273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</row>
    <row r="115" spans="1:15" hidden="1" x14ac:dyDescent="0.3">
      <c r="A115" t="s">
        <v>37</v>
      </c>
      <c r="B115" t="s">
        <v>38</v>
      </c>
      <c r="C115" t="s">
        <v>282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</row>
    <row r="116" spans="1:15" x14ac:dyDescent="0.3">
      <c r="A116" t="s">
        <v>37</v>
      </c>
      <c r="B116" t="s">
        <v>38</v>
      </c>
      <c r="C116" t="s">
        <v>274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</row>
    <row r="117" spans="1:15" x14ac:dyDescent="0.3">
      <c r="A117" t="s">
        <v>37</v>
      </c>
      <c r="B117" t="s">
        <v>38</v>
      </c>
      <c r="C117" t="s">
        <v>275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</row>
    <row r="118" spans="1:15" hidden="1" x14ac:dyDescent="0.3">
      <c r="A118" t="s">
        <v>37</v>
      </c>
      <c r="B118" t="s">
        <v>38</v>
      </c>
      <c r="C118" t="s">
        <v>277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</row>
    <row r="119" spans="1:15" x14ac:dyDescent="0.3">
      <c r="A119" t="s">
        <v>37</v>
      </c>
      <c r="B119" t="s">
        <v>38</v>
      </c>
      <c r="C119" t="s">
        <v>276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</row>
    <row r="120" spans="1:15" x14ac:dyDescent="0.3">
      <c r="A120" t="s">
        <v>37</v>
      </c>
      <c r="B120" t="s">
        <v>38</v>
      </c>
      <c r="C120" t="s">
        <v>281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</row>
    <row r="121" spans="1:15" x14ac:dyDescent="0.3">
      <c r="A121" t="s">
        <v>37</v>
      </c>
      <c r="B121" t="s">
        <v>38</v>
      </c>
      <c r="C121" t="s">
        <v>280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</row>
    <row r="122" spans="1:15" x14ac:dyDescent="0.3">
      <c r="A122" t="s">
        <v>37</v>
      </c>
      <c r="B122" t="s">
        <v>38</v>
      </c>
      <c r="C122" t="s">
        <v>284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</row>
    <row r="123" spans="1:15" x14ac:dyDescent="0.3">
      <c r="A123" t="s">
        <v>39</v>
      </c>
      <c r="B123" t="s">
        <v>40</v>
      </c>
      <c r="C123" t="s">
        <v>278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</row>
    <row r="124" spans="1:15" x14ac:dyDescent="0.3">
      <c r="A124" t="s">
        <v>39</v>
      </c>
      <c r="B124" t="s">
        <v>40</v>
      </c>
      <c r="C124" t="s">
        <v>279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</row>
    <row r="125" spans="1:15" x14ac:dyDescent="0.3">
      <c r="A125" t="s">
        <v>39</v>
      </c>
      <c r="B125" t="s">
        <v>40</v>
      </c>
      <c r="C125" t="s">
        <v>273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</row>
    <row r="126" spans="1:15" hidden="1" x14ac:dyDescent="0.3">
      <c r="A126" t="s">
        <v>39</v>
      </c>
      <c r="B126" t="s">
        <v>40</v>
      </c>
      <c r="C126" t="s">
        <v>282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</row>
    <row r="127" spans="1:15" x14ac:dyDescent="0.3">
      <c r="A127" t="s">
        <v>39</v>
      </c>
      <c r="B127" t="s">
        <v>40</v>
      </c>
      <c r="C127" t="s">
        <v>274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</row>
    <row r="128" spans="1:15" x14ac:dyDescent="0.3">
      <c r="A128" t="s">
        <v>39</v>
      </c>
      <c r="B128" t="s">
        <v>40</v>
      </c>
      <c r="C128" t="s">
        <v>275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</row>
    <row r="129" spans="1:15" hidden="1" x14ac:dyDescent="0.3">
      <c r="A129" t="s">
        <v>39</v>
      </c>
      <c r="B129" t="s">
        <v>40</v>
      </c>
      <c r="C129" t="s">
        <v>277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</row>
    <row r="130" spans="1:15" x14ac:dyDescent="0.3">
      <c r="A130" t="s">
        <v>39</v>
      </c>
      <c r="B130" t="s">
        <v>40</v>
      </c>
      <c r="C130" t="s">
        <v>276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</row>
    <row r="131" spans="1:15" x14ac:dyDescent="0.3">
      <c r="A131" t="s">
        <v>39</v>
      </c>
      <c r="B131" t="s">
        <v>40</v>
      </c>
      <c r="C131" t="s">
        <v>281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</row>
    <row r="132" spans="1:15" x14ac:dyDescent="0.3">
      <c r="A132" t="s">
        <v>39</v>
      </c>
      <c r="B132" t="s">
        <v>40</v>
      </c>
      <c r="C132" t="s">
        <v>280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</row>
    <row r="133" spans="1:15" x14ac:dyDescent="0.3">
      <c r="A133" t="s">
        <v>39</v>
      </c>
      <c r="B133" t="s">
        <v>40</v>
      </c>
      <c r="C133" t="s">
        <v>284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</row>
    <row r="134" spans="1:15" x14ac:dyDescent="0.3">
      <c r="A134" t="s">
        <v>41</v>
      </c>
      <c r="B134" t="s">
        <v>42</v>
      </c>
      <c r="C134" t="s">
        <v>278</v>
      </c>
      <c r="D134" s="15">
        <v>256153</v>
      </c>
      <c r="E134" s="15">
        <v>214935</v>
      </c>
      <c r="F134" s="15">
        <v>193006</v>
      </c>
      <c r="G134" s="15">
        <v>168729</v>
      </c>
      <c r="H134" s="15">
        <v>164245</v>
      </c>
      <c r="I134">
        <v>137783</v>
      </c>
      <c r="J134">
        <v>113352</v>
      </c>
      <c r="K134">
        <v>90218</v>
      </c>
      <c r="L134">
        <v>68003</v>
      </c>
      <c r="M134">
        <v>53241</v>
      </c>
      <c r="N134">
        <v>1</v>
      </c>
      <c r="O134">
        <v>1</v>
      </c>
    </row>
    <row r="135" spans="1:15" x14ac:dyDescent="0.3">
      <c r="A135" t="s">
        <v>41</v>
      </c>
      <c r="B135" t="s">
        <v>42</v>
      </c>
      <c r="C135" t="s">
        <v>279</v>
      </c>
      <c r="D135" s="15">
        <v>214935</v>
      </c>
      <c r="E135" s="15">
        <v>193006</v>
      </c>
      <c r="F135" s="15">
        <v>168729</v>
      </c>
      <c r="G135" s="15">
        <v>164245</v>
      </c>
      <c r="H135" s="15">
        <v>137783</v>
      </c>
      <c r="I135">
        <v>113352</v>
      </c>
      <c r="J135">
        <v>90218</v>
      </c>
      <c r="K135">
        <v>68003</v>
      </c>
      <c r="L135">
        <v>53241</v>
      </c>
      <c r="M135">
        <v>52112</v>
      </c>
      <c r="N135">
        <v>1</v>
      </c>
      <c r="O135">
        <v>1</v>
      </c>
    </row>
    <row r="136" spans="1:15" x14ac:dyDescent="0.3">
      <c r="A136" t="s">
        <v>41</v>
      </c>
      <c r="B136" t="s">
        <v>42</v>
      </c>
      <c r="C136" t="s">
        <v>273</v>
      </c>
      <c r="D136" s="15">
        <v>41218</v>
      </c>
      <c r="E136" s="15">
        <v>21929</v>
      </c>
      <c r="F136" s="15">
        <v>24277</v>
      </c>
      <c r="G136" s="15">
        <v>4484</v>
      </c>
      <c r="H136" s="15">
        <v>26462</v>
      </c>
      <c r="I136">
        <v>24431</v>
      </c>
      <c r="J136">
        <v>23134</v>
      </c>
      <c r="K136">
        <v>22215</v>
      </c>
      <c r="L136">
        <v>14762</v>
      </c>
      <c r="M136">
        <v>1129</v>
      </c>
      <c r="N136">
        <v>1</v>
      </c>
      <c r="O136">
        <v>1</v>
      </c>
    </row>
    <row r="137" spans="1:15" hidden="1" x14ac:dyDescent="0.3">
      <c r="A137" t="s">
        <v>41</v>
      </c>
      <c r="B137" t="s">
        <v>42</v>
      </c>
      <c r="C137" t="s">
        <v>282</v>
      </c>
      <c r="D137">
        <v>82799</v>
      </c>
      <c r="E137">
        <v>61602</v>
      </c>
      <c r="F137">
        <v>61602</v>
      </c>
      <c r="G137" s="15">
        <v>49540</v>
      </c>
      <c r="H137" s="15">
        <v>61033</v>
      </c>
      <c r="I137">
        <v>50381</v>
      </c>
      <c r="J137">
        <v>29613</v>
      </c>
      <c r="K137">
        <v>0</v>
      </c>
      <c r="L137">
        <v>0</v>
      </c>
      <c r="M137">
        <v>0</v>
      </c>
      <c r="N137">
        <v>1</v>
      </c>
      <c r="O137">
        <v>1</v>
      </c>
    </row>
    <row r="138" spans="1:15" x14ac:dyDescent="0.3">
      <c r="A138" t="s">
        <v>41</v>
      </c>
      <c r="B138" t="s">
        <v>42</v>
      </c>
      <c r="C138" t="s">
        <v>274</v>
      </c>
      <c r="D138" s="15">
        <v>839103</v>
      </c>
      <c r="E138" s="15">
        <v>634205</v>
      </c>
      <c r="F138" s="15">
        <v>371819</v>
      </c>
      <c r="G138" s="15">
        <v>269167</v>
      </c>
      <c r="H138" s="15">
        <v>262760</v>
      </c>
      <c r="I138">
        <v>251945</v>
      </c>
      <c r="J138">
        <v>220762</v>
      </c>
      <c r="K138">
        <v>203950</v>
      </c>
      <c r="L138">
        <v>160828</v>
      </c>
      <c r="M138">
        <v>114343</v>
      </c>
      <c r="N138">
        <v>1</v>
      </c>
      <c r="O138">
        <v>1</v>
      </c>
    </row>
    <row r="139" spans="1:15" x14ac:dyDescent="0.3">
      <c r="A139" t="s">
        <v>41</v>
      </c>
      <c r="B139" t="s">
        <v>42</v>
      </c>
      <c r="C139" t="s">
        <v>275</v>
      </c>
      <c r="D139" s="15">
        <v>634205</v>
      </c>
      <c r="E139" s="15">
        <v>371819</v>
      </c>
      <c r="F139" s="15">
        <v>269167</v>
      </c>
      <c r="G139" s="15">
        <v>262760</v>
      </c>
      <c r="H139" s="15">
        <v>251945</v>
      </c>
      <c r="I139">
        <v>220762</v>
      </c>
      <c r="J139">
        <v>203950</v>
      </c>
      <c r="K139">
        <v>160828</v>
      </c>
      <c r="L139">
        <v>114343</v>
      </c>
      <c r="M139">
        <v>114262</v>
      </c>
      <c r="N139">
        <v>1</v>
      </c>
      <c r="O139">
        <v>1</v>
      </c>
    </row>
    <row r="140" spans="1:15" hidden="1" x14ac:dyDescent="0.3">
      <c r="A140" t="s">
        <v>41</v>
      </c>
      <c r="B140" t="s">
        <v>42</v>
      </c>
      <c r="C140" t="s">
        <v>277</v>
      </c>
      <c r="D140">
        <v>0</v>
      </c>
      <c r="E140">
        <v>0</v>
      </c>
      <c r="F140">
        <v>0</v>
      </c>
      <c r="G140" s="15">
        <v>23802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10086</v>
      </c>
      <c r="N140">
        <v>1</v>
      </c>
      <c r="O140">
        <v>1</v>
      </c>
    </row>
    <row r="141" spans="1:15" x14ac:dyDescent="0.3">
      <c r="A141" t="s">
        <v>41</v>
      </c>
      <c r="B141" t="s">
        <v>42</v>
      </c>
      <c r="C141" t="s">
        <v>276</v>
      </c>
      <c r="D141">
        <v>204898</v>
      </c>
      <c r="E141" s="15">
        <v>262386</v>
      </c>
      <c r="F141" s="15">
        <v>102652</v>
      </c>
      <c r="G141" s="15">
        <v>6407</v>
      </c>
      <c r="H141" s="15">
        <v>10815</v>
      </c>
      <c r="I141">
        <v>31183</v>
      </c>
      <c r="J141">
        <v>16812</v>
      </c>
      <c r="K141">
        <v>43122</v>
      </c>
      <c r="L141">
        <v>46485</v>
      </c>
      <c r="M141">
        <v>81</v>
      </c>
      <c r="N141">
        <v>1</v>
      </c>
      <c r="O141">
        <v>1</v>
      </c>
    </row>
    <row r="142" spans="1:15" x14ac:dyDescent="0.3">
      <c r="A142" t="s">
        <v>41</v>
      </c>
      <c r="B142" t="s">
        <v>42</v>
      </c>
      <c r="C142" t="s">
        <v>281</v>
      </c>
      <c r="D142">
        <v>582950</v>
      </c>
      <c r="E142" s="15">
        <v>419270</v>
      </c>
      <c r="F142" s="15">
        <v>178813</v>
      </c>
      <c r="G142" s="15">
        <v>100438</v>
      </c>
      <c r="H142" s="15">
        <v>98515</v>
      </c>
      <c r="I142">
        <v>114162</v>
      </c>
      <c r="J142">
        <v>107410</v>
      </c>
      <c r="K142">
        <v>113732</v>
      </c>
      <c r="L142">
        <v>92825</v>
      </c>
      <c r="M142">
        <v>61102</v>
      </c>
      <c r="N142">
        <v>1</v>
      </c>
      <c r="O142">
        <v>1</v>
      </c>
    </row>
    <row r="143" spans="1:15" x14ac:dyDescent="0.3">
      <c r="A143" t="s">
        <v>41</v>
      </c>
      <c r="B143" t="s">
        <v>42</v>
      </c>
      <c r="C143" t="s">
        <v>280</v>
      </c>
      <c r="D143">
        <v>419270</v>
      </c>
      <c r="E143" s="15">
        <v>178813</v>
      </c>
      <c r="F143" s="15">
        <v>100438</v>
      </c>
      <c r="G143" s="15">
        <v>98515</v>
      </c>
      <c r="H143" s="15">
        <v>114162</v>
      </c>
      <c r="I143">
        <v>107410</v>
      </c>
      <c r="J143">
        <v>113732</v>
      </c>
      <c r="K143">
        <v>92825</v>
      </c>
      <c r="L143">
        <v>61102</v>
      </c>
      <c r="M143">
        <v>62150</v>
      </c>
      <c r="N143">
        <v>1</v>
      </c>
      <c r="O143">
        <v>1</v>
      </c>
    </row>
    <row r="144" spans="1:15" x14ac:dyDescent="0.3">
      <c r="A144" t="s">
        <v>41</v>
      </c>
      <c r="B144" t="s">
        <v>42</v>
      </c>
      <c r="C144" t="s">
        <v>284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1</v>
      </c>
      <c r="O144">
        <v>1</v>
      </c>
    </row>
    <row r="145" spans="1:15" x14ac:dyDescent="0.3">
      <c r="A145" t="s">
        <v>43</v>
      </c>
      <c r="B145" t="s">
        <v>44</v>
      </c>
      <c r="C145" t="s">
        <v>278</v>
      </c>
      <c r="D145">
        <v>3574616</v>
      </c>
      <c r="E145">
        <v>3020166</v>
      </c>
      <c r="F145">
        <v>2282318</v>
      </c>
      <c r="G145">
        <v>1719202</v>
      </c>
      <c r="H145">
        <v>1245089</v>
      </c>
      <c r="I145">
        <v>868240</v>
      </c>
      <c r="J145">
        <v>659566</v>
      </c>
      <c r="K145">
        <v>565749</v>
      </c>
      <c r="L145">
        <v>461801</v>
      </c>
      <c r="M145">
        <v>355102</v>
      </c>
      <c r="N145">
        <v>286604</v>
      </c>
      <c r="O145">
        <v>235768</v>
      </c>
    </row>
    <row r="146" spans="1:15" x14ac:dyDescent="0.3">
      <c r="A146" t="s">
        <v>43</v>
      </c>
      <c r="B146" t="s">
        <v>44</v>
      </c>
      <c r="C146" t="s">
        <v>279</v>
      </c>
      <c r="D146">
        <v>3020166</v>
      </c>
      <c r="E146">
        <v>2282318</v>
      </c>
      <c r="F146">
        <v>1719202</v>
      </c>
      <c r="G146">
        <v>1245089</v>
      </c>
      <c r="H146">
        <v>868240</v>
      </c>
      <c r="I146">
        <v>659566</v>
      </c>
      <c r="J146">
        <v>565749</v>
      </c>
      <c r="K146">
        <v>461801</v>
      </c>
      <c r="L146">
        <v>355102</v>
      </c>
      <c r="M146">
        <v>286604</v>
      </c>
      <c r="N146">
        <v>235768</v>
      </c>
      <c r="O146">
        <v>208140</v>
      </c>
    </row>
    <row r="147" spans="1:15" x14ac:dyDescent="0.3">
      <c r="A147" t="s">
        <v>43</v>
      </c>
      <c r="B147" t="s">
        <v>44</v>
      </c>
      <c r="C147" t="s">
        <v>273</v>
      </c>
      <c r="D147">
        <v>578813</v>
      </c>
      <c r="E147">
        <v>742947</v>
      </c>
      <c r="F147">
        <v>552051</v>
      </c>
      <c r="G147">
        <v>473886</v>
      </c>
      <c r="H147">
        <v>373412</v>
      </c>
      <c r="I147">
        <v>207957</v>
      </c>
      <c r="J147">
        <v>95943</v>
      </c>
      <c r="K147">
        <v>102620</v>
      </c>
      <c r="L147">
        <v>106741</v>
      </c>
      <c r="M147">
        <v>71448</v>
      </c>
      <c r="N147">
        <v>50836</v>
      </c>
      <c r="O147">
        <v>27628</v>
      </c>
    </row>
    <row r="148" spans="1:15" hidden="1" x14ac:dyDescent="0.3">
      <c r="A148" t="s">
        <v>43</v>
      </c>
      <c r="B148" t="s">
        <v>44</v>
      </c>
      <c r="C148" t="s">
        <v>282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</row>
    <row r="149" spans="1:15" x14ac:dyDescent="0.3">
      <c r="A149" t="s">
        <v>43</v>
      </c>
      <c r="B149" t="s">
        <v>44</v>
      </c>
      <c r="C149" t="s">
        <v>274</v>
      </c>
      <c r="D149">
        <v>4473644</v>
      </c>
      <c r="E149">
        <v>3798646</v>
      </c>
      <c r="F149">
        <v>3020072</v>
      </c>
      <c r="G149">
        <v>2439978</v>
      </c>
      <c r="H149">
        <v>1811224</v>
      </c>
      <c r="I149">
        <v>1169487</v>
      </c>
      <c r="J149">
        <v>872307</v>
      </c>
      <c r="K149">
        <v>743180</v>
      </c>
      <c r="L149">
        <v>621885</v>
      </c>
      <c r="M149">
        <v>436531</v>
      </c>
      <c r="N149">
        <v>363495</v>
      </c>
      <c r="O149">
        <v>266069</v>
      </c>
    </row>
    <row r="150" spans="1:15" x14ac:dyDescent="0.3">
      <c r="A150" t="s">
        <v>43</v>
      </c>
      <c r="B150" t="s">
        <v>44</v>
      </c>
      <c r="C150" t="s">
        <v>275</v>
      </c>
      <c r="D150">
        <v>3798646</v>
      </c>
      <c r="E150">
        <v>3020072</v>
      </c>
      <c r="F150">
        <v>2439978</v>
      </c>
      <c r="G150">
        <v>1811224</v>
      </c>
      <c r="H150">
        <v>1169487</v>
      </c>
      <c r="I150">
        <v>872307</v>
      </c>
      <c r="J150">
        <v>743180</v>
      </c>
      <c r="K150">
        <v>621885</v>
      </c>
      <c r="L150">
        <v>436531</v>
      </c>
      <c r="M150">
        <v>363495</v>
      </c>
      <c r="N150">
        <v>266069</v>
      </c>
      <c r="O150">
        <v>253353</v>
      </c>
    </row>
    <row r="151" spans="1:15" hidden="1" x14ac:dyDescent="0.3">
      <c r="A151" t="s">
        <v>43</v>
      </c>
      <c r="B151" t="s">
        <v>44</v>
      </c>
      <c r="C151" t="s">
        <v>277</v>
      </c>
      <c r="D151">
        <v>105478</v>
      </c>
      <c r="E151">
        <v>10737</v>
      </c>
      <c r="F151">
        <v>32</v>
      </c>
      <c r="G151">
        <v>273</v>
      </c>
      <c r="H151">
        <v>352</v>
      </c>
      <c r="I151">
        <v>1694</v>
      </c>
      <c r="J151">
        <v>2077</v>
      </c>
      <c r="K151">
        <v>265</v>
      </c>
      <c r="L151">
        <v>0</v>
      </c>
      <c r="M151">
        <v>6662</v>
      </c>
      <c r="N151">
        <v>0</v>
      </c>
      <c r="O151">
        <v>0</v>
      </c>
    </row>
    <row r="152" spans="1:15" x14ac:dyDescent="0.3">
      <c r="A152" t="s">
        <v>43</v>
      </c>
      <c r="B152" t="s">
        <v>44</v>
      </c>
      <c r="C152" t="s">
        <v>276</v>
      </c>
      <c r="D152">
        <v>789835</v>
      </c>
      <c r="E152">
        <v>793347</v>
      </c>
      <c r="F152">
        <v>585625</v>
      </c>
      <c r="G152">
        <v>633175</v>
      </c>
      <c r="H152">
        <v>642124</v>
      </c>
      <c r="I152">
        <v>295491</v>
      </c>
      <c r="J152">
        <v>86556</v>
      </c>
      <c r="K152">
        <v>120585</v>
      </c>
      <c r="L152">
        <v>185396</v>
      </c>
      <c r="M152">
        <v>79785</v>
      </c>
      <c r="N152">
        <v>97426</v>
      </c>
      <c r="O152">
        <v>12716</v>
      </c>
    </row>
    <row r="153" spans="1:15" x14ac:dyDescent="0.3">
      <c r="A153" t="s">
        <v>43</v>
      </c>
      <c r="B153" t="s">
        <v>44</v>
      </c>
      <c r="C153" t="s">
        <v>281</v>
      </c>
      <c r="D153">
        <v>899028</v>
      </c>
      <c r="E153">
        <v>778480</v>
      </c>
      <c r="F153">
        <v>737754</v>
      </c>
      <c r="G153">
        <v>720776</v>
      </c>
      <c r="H153">
        <v>566135</v>
      </c>
      <c r="I153">
        <v>301247</v>
      </c>
      <c r="J153">
        <v>212741</v>
      </c>
      <c r="K153">
        <v>177431</v>
      </c>
      <c r="L153">
        <v>160084</v>
      </c>
      <c r="M153">
        <v>81429</v>
      </c>
      <c r="N153">
        <v>76891</v>
      </c>
      <c r="O153">
        <v>30301</v>
      </c>
    </row>
    <row r="154" spans="1:15" x14ac:dyDescent="0.3">
      <c r="A154" t="s">
        <v>43</v>
      </c>
      <c r="B154" t="s">
        <v>44</v>
      </c>
      <c r="C154" t="s">
        <v>280</v>
      </c>
      <c r="D154">
        <v>778480</v>
      </c>
      <c r="E154">
        <v>737754</v>
      </c>
      <c r="F154">
        <v>720776</v>
      </c>
      <c r="G154">
        <v>566135</v>
      </c>
      <c r="H154">
        <v>301247</v>
      </c>
      <c r="I154">
        <v>212741</v>
      </c>
      <c r="J154">
        <v>177431</v>
      </c>
      <c r="K154">
        <v>160084</v>
      </c>
      <c r="L154">
        <v>81429</v>
      </c>
      <c r="M154">
        <v>76891</v>
      </c>
      <c r="N154">
        <v>30301</v>
      </c>
      <c r="O154">
        <v>45213</v>
      </c>
    </row>
    <row r="155" spans="1:15" x14ac:dyDescent="0.3">
      <c r="A155" t="s">
        <v>43</v>
      </c>
      <c r="B155" t="s">
        <v>44</v>
      </c>
      <c r="C155" t="s">
        <v>284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</row>
    <row r="156" spans="1:15" x14ac:dyDescent="0.3">
      <c r="A156" t="s">
        <v>47</v>
      </c>
      <c r="B156" t="s">
        <v>48</v>
      </c>
      <c r="C156" t="s">
        <v>278</v>
      </c>
      <c r="D156">
        <v>479960</v>
      </c>
      <c r="E156">
        <v>449470</v>
      </c>
      <c r="F156">
        <v>418187</v>
      </c>
      <c r="G156">
        <v>379060</v>
      </c>
      <c r="H156">
        <v>330020</v>
      </c>
      <c r="I156">
        <v>282522</v>
      </c>
      <c r="J156">
        <v>331152</v>
      </c>
      <c r="K156">
        <v>284932</v>
      </c>
      <c r="L156">
        <v>237584</v>
      </c>
      <c r="M156">
        <v>201620</v>
      </c>
      <c r="N156">
        <v>172573</v>
      </c>
      <c r="O156">
        <v>1</v>
      </c>
    </row>
    <row r="157" spans="1:15" x14ac:dyDescent="0.3">
      <c r="A157" t="s">
        <v>47</v>
      </c>
      <c r="B157" t="s">
        <v>48</v>
      </c>
      <c r="C157" t="s">
        <v>279</v>
      </c>
      <c r="D157">
        <v>449470</v>
      </c>
      <c r="E157">
        <v>418187</v>
      </c>
      <c r="F157">
        <v>379060</v>
      </c>
      <c r="G157">
        <v>330020</v>
      </c>
      <c r="H157">
        <v>282522</v>
      </c>
      <c r="I157">
        <v>331152</v>
      </c>
      <c r="J157">
        <v>284932</v>
      </c>
      <c r="K157">
        <v>237584</v>
      </c>
      <c r="L157">
        <v>201620</v>
      </c>
      <c r="M157">
        <v>172573</v>
      </c>
      <c r="N157">
        <v>95476</v>
      </c>
      <c r="O157">
        <v>1</v>
      </c>
    </row>
    <row r="158" spans="1:15" x14ac:dyDescent="0.3">
      <c r="A158" t="s">
        <v>47</v>
      </c>
      <c r="B158" t="s">
        <v>48</v>
      </c>
      <c r="C158" t="s">
        <v>273</v>
      </c>
      <c r="D158">
        <v>31299</v>
      </c>
      <c r="E158">
        <v>31283</v>
      </c>
      <c r="F158">
        <v>39127</v>
      </c>
      <c r="G158">
        <v>49040</v>
      </c>
      <c r="H158">
        <v>47618</v>
      </c>
      <c r="I158">
        <v>47108</v>
      </c>
      <c r="J158">
        <v>46220</v>
      </c>
      <c r="K158">
        <v>47348</v>
      </c>
      <c r="L158">
        <v>36115</v>
      </c>
      <c r="M158">
        <v>29047</v>
      </c>
      <c r="N158">
        <v>118898</v>
      </c>
      <c r="O158">
        <v>1</v>
      </c>
    </row>
    <row r="159" spans="1:15" hidden="1" x14ac:dyDescent="0.3">
      <c r="A159" t="s">
        <v>47</v>
      </c>
      <c r="B159" t="s">
        <v>48</v>
      </c>
      <c r="C159" t="s">
        <v>282</v>
      </c>
      <c r="D159">
        <v>281235</v>
      </c>
      <c r="E159">
        <v>243025</v>
      </c>
      <c r="F159">
        <v>164409</v>
      </c>
      <c r="G159">
        <v>132192</v>
      </c>
      <c r="H159">
        <v>0</v>
      </c>
      <c r="I159">
        <v>101349</v>
      </c>
      <c r="J159">
        <v>0</v>
      </c>
      <c r="K159">
        <v>0</v>
      </c>
      <c r="L159">
        <v>80843</v>
      </c>
      <c r="M159">
        <v>79690</v>
      </c>
      <c r="N159">
        <v>0</v>
      </c>
      <c r="O159">
        <v>1</v>
      </c>
    </row>
    <row r="160" spans="1:15" x14ac:dyDescent="0.3">
      <c r="A160" t="s">
        <v>47</v>
      </c>
      <c r="B160" t="s">
        <v>48</v>
      </c>
      <c r="C160" t="s">
        <v>274</v>
      </c>
      <c r="D160">
        <v>617831</v>
      </c>
      <c r="E160">
        <v>574675</v>
      </c>
      <c r="F160">
        <v>556624</v>
      </c>
      <c r="G160">
        <v>546134</v>
      </c>
      <c r="H160">
        <v>444085</v>
      </c>
      <c r="I160">
        <v>398808</v>
      </c>
      <c r="J160">
        <v>433920</v>
      </c>
      <c r="K160">
        <v>399067</v>
      </c>
      <c r="L160">
        <v>348850</v>
      </c>
      <c r="M160">
        <v>300234</v>
      </c>
      <c r="N160">
        <v>290298</v>
      </c>
      <c r="O160">
        <v>1</v>
      </c>
    </row>
    <row r="161" spans="1:15" x14ac:dyDescent="0.3">
      <c r="A161" t="s">
        <v>47</v>
      </c>
      <c r="B161" t="s">
        <v>48</v>
      </c>
      <c r="C161" t="s">
        <v>275</v>
      </c>
      <c r="D161">
        <v>574675</v>
      </c>
      <c r="E161">
        <v>556624</v>
      </c>
      <c r="F161">
        <v>546134</v>
      </c>
      <c r="G161">
        <v>444085</v>
      </c>
      <c r="H161">
        <v>398808</v>
      </c>
      <c r="I161">
        <v>433920</v>
      </c>
      <c r="J161">
        <v>399067</v>
      </c>
      <c r="K161">
        <v>348850</v>
      </c>
      <c r="L161">
        <v>300234</v>
      </c>
      <c r="M161">
        <v>290298</v>
      </c>
      <c r="N161">
        <v>173090</v>
      </c>
      <c r="O161">
        <v>1</v>
      </c>
    </row>
    <row r="162" spans="1:15" hidden="1" x14ac:dyDescent="0.3">
      <c r="A162" t="s">
        <v>47</v>
      </c>
      <c r="B162" t="s">
        <v>48</v>
      </c>
      <c r="C162" t="s">
        <v>277</v>
      </c>
      <c r="D162">
        <v>809</v>
      </c>
      <c r="E162">
        <v>0</v>
      </c>
      <c r="F162">
        <v>0</v>
      </c>
      <c r="G162">
        <v>0</v>
      </c>
      <c r="H162">
        <v>120</v>
      </c>
      <c r="I162">
        <v>96302</v>
      </c>
      <c r="J162">
        <v>0</v>
      </c>
      <c r="K162">
        <v>0</v>
      </c>
      <c r="L162">
        <v>151</v>
      </c>
      <c r="M162">
        <v>0</v>
      </c>
      <c r="N162">
        <v>45650</v>
      </c>
      <c r="O162">
        <v>1</v>
      </c>
    </row>
    <row r="163" spans="1:15" x14ac:dyDescent="0.3">
      <c r="A163" t="s">
        <v>47</v>
      </c>
      <c r="B163" t="s">
        <v>48</v>
      </c>
      <c r="C163" t="s">
        <v>276</v>
      </c>
      <c r="D163">
        <v>43965</v>
      </c>
      <c r="E163">
        <v>18051</v>
      </c>
      <c r="F163">
        <v>10490</v>
      </c>
      <c r="G163">
        <v>102049</v>
      </c>
      <c r="H163">
        <v>45397</v>
      </c>
      <c r="I163">
        <v>56686</v>
      </c>
      <c r="J163">
        <v>34853</v>
      </c>
      <c r="K163">
        <v>50217</v>
      </c>
      <c r="L163">
        <v>48767</v>
      </c>
      <c r="M163">
        <v>9936</v>
      </c>
      <c r="N163">
        <v>162858</v>
      </c>
      <c r="O163">
        <v>1</v>
      </c>
    </row>
    <row r="164" spans="1:15" x14ac:dyDescent="0.3">
      <c r="A164" t="s">
        <v>47</v>
      </c>
      <c r="B164" t="s">
        <v>48</v>
      </c>
      <c r="C164" t="s">
        <v>281</v>
      </c>
      <c r="D164">
        <v>137871</v>
      </c>
      <c r="E164">
        <v>125205</v>
      </c>
      <c r="F164">
        <v>138437</v>
      </c>
      <c r="G164">
        <v>167074</v>
      </c>
      <c r="H164">
        <v>114065</v>
      </c>
      <c r="I164">
        <v>116286</v>
      </c>
      <c r="J164">
        <v>102768</v>
      </c>
      <c r="K164">
        <v>114135</v>
      </c>
      <c r="L164">
        <v>111266</v>
      </c>
      <c r="M164">
        <v>98614</v>
      </c>
      <c r="N164">
        <v>117725</v>
      </c>
      <c r="O164">
        <v>1</v>
      </c>
    </row>
    <row r="165" spans="1:15" x14ac:dyDescent="0.3">
      <c r="A165" t="s">
        <v>47</v>
      </c>
      <c r="B165" t="s">
        <v>48</v>
      </c>
      <c r="C165" t="s">
        <v>280</v>
      </c>
      <c r="D165">
        <v>125205</v>
      </c>
      <c r="E165">
        <v>138437</v>
      </c>
      <c r="F165">
        <v>167074</v>
      </c>
      <c r="G165">
        <v>114065</v>
      </c>
      <c r="H165">
        <v>116286</v>
      </c>
      <c r="I165">
        <v>102768</v>
      </c>
      <c r="J165">
        <v>114135</v>
      </c>
      <c r="K165">
        <v>111266</v>
      </c>
      <c r="L165">
        <v>98614</v>
      </c>
      <c r="M165">
        <v>117725</v>
      </c>
      <c r="N165">
        <v>77614</v>
      </c>
      <c r="O165">
        <v>1</v>
      </c>
    </row>
    <row r="166" spans="1:15" x14ac:dyDescent="0.3">
      <c r="A166" t="s">
        <v>47</v>
      </c>
      <c r="B166" t="s">
        <v>48</v>
      </c>
      <c r="C166" t="s">
        <v>284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1</v>
      </c>
    </row>
    <row r="167" spans="1:15" x14ac:dyDescent="0.3">
      <c r="A167" t="s">
        <v>65</v>
      </c>
      <c r="B167" t="s">
        <v>66</v>
      </c>
      <c r="C167" t="s">
        <v>278</v>
      </c>
      <c r="D167">
        <v>167842</v>
      </c>
      <c r="E167">
        <v>159170</v>
      </c>
      <c r="F167">
        <v>152294</v>
      </c>
      <c r="G167">
        <v>147322</v>
      </c>
      <c r="H167">
        <v>137180</v>
      </c>
      <c r="I167">
        <v>122219</v>
      </c>
      <c r="J167">
        <v>107852</v>
      </c>
      <c r="K167">
        <v>94294</v>
      </c>
      <c r="L167">
        <v>1</v>
      </c>
      <c r="M167">
        <v>54499</v>
      </c>
      <c r="N167">
        <v>1</v>
      </c>
      <c r="O167">
        <v>1</v>
      </c>
    </row>
    <row r="168" spans="1:15" x14ac:dyDescent="0.3">
      <c r="A168" t="s">
        <v>65</v>
      </c>
      <c r="B168" t="s">
        <v>66</v>
      </c>
      <c r="C168" t="s">
        <v>279</v>
      </c>
      <c r="D168">
        <v>159170</v>
      </c>
      <c r="E168">
        <v>152294</v>
      </c>
      <c r="F168">
        <v>147322</v>
      </c>
      <c r="G168">
        <v>137180</v>
      </c>
      <c r="H168">
        <v>122219</v>
      </c>
      <c r="I168">
        <v>107852</v>
      </c>
      <c r="J168">
        <v>94294</v>
      </c>
      <c r="K168">
        <v>68080</v>
      </c>
      <c r="L168">
        <v>1</v>
      </c>
      <c r="M168">
        <v>45304</v>
      </c>
      <c r="N168">
        <v>1</v>
      </c>
      <c r="O168">
        <v>1</v>
      </c>
    </row>
    <row r="169" spans="1:15" x14ac:dyDescent="0.3">
      <c r="A169" t="s">
        <v>65</v>
      </c>
      <c r="B169" t="s">
        <v>66</v>
      </c>
      <c r="C169" t="s">
        <v>273</v>
      </c>
      <c r="D169">
        <v>8672</v>
      </c>
      <c r="E169">
        <v>6876</v>
      </c>
      <c r="F169">
        <v>4972</v>
      </c>
      <c r="G169">
        <v>10142</v>
      </c>
      <c r="H169">
        <v>14961</v>
      </c>
      <c r="I169">
        <v>14367</v>
      </c>
      <c r="J169">
        <v>13558</v>
      </c>
      <c r="K169">
        <v>26214</v>
      </c>
      <c r="L169">
        <v>1</v>
      </c>
      <c r="M169">
        <v>9195</v>
      </c>
      <c r="N169">
        <v>1</v>
      </c>
      <c r="O169">
        <v>1</v>
      </c>
    </row>
    <row r="170" spans="1:15" hidden="1" x14ac:dyDescent="0.3">
      <c r="A170" t="s">
        <v>65</v>
      </c>
      <c r="B170" t="s">
        <v>66</v>
      </c>
      <c r="C170" t="s">
        <v>282</v>
      </c>
      <c r="D170">
        <v>144011</v>
      </c>
      <c r="E170">
        <v>140415</v>
      </c>
      <c r="F170">
        <v>140415</v>
      </c>
      <c r="G170">
        <v>140937</v>
      </c>
      <c r="H170">
        <v>76461</v>
      </c>
      <c r="I170">
        <v>76461</v>
      </c>
      <c r="J170">
        <v>73781</v>
      </c>
      <c r="K170">
        <v>73781</v>
      </c>
      <c r="L170">
        <v>1</v>
      </c>
      <c r="M170">
        <v>5471</v>
      </c>
      <c r="N170">
        <v>1</v>
      </c>
      <c r="O170">
        <v>1</v>
      </c>
    </row>
    <row r="171" spans="1:15" x14ac:dyDescent="0.3">
      <c r="A171" t="s">
        <v>65</v>
      </c>
      <c r="B171" t="s">
        <v>66</v>
      </c>
      <c r="C171" t="s">
        <v>274</v>
      </c>
      <c r="D171">
        <v>204937</v>
      </c>
      <c r="E171">
        <v>193642</v>
      </c>
      <c r="F171">
        <v>182474</v>
      </c>
      <c r="G171">
        <v>174388</v>
      </c>
      <c r="H171">
        <v>154928</v>
      </c>
      <c r="I171">
        <v>154928</v>
      </c>
      <c r="J171">
        <v>141573</v>
      </c>
      <c r="K171">
        <v>141573</v>
      </c>
      <c r="L171">
        <v>1</v>
      </c>
      <c r="M171">
        <v>76461</v>
      </c>
      <c r="N171">
        <v>1</v>
      </c>
      <c r="O171">
        <v>1</v>
      </c>
    </row>
    <row r="172" spans="1:15" x14ac:dyDescent="0.3">
      <c r="A172" t="s">
        <v>65</v>
      </c>
      <c r="B172" t="s">
        <v>66</v>
      </c>
      <c r="C172" t="s">
        <v>275</v>
      </c>
      <c r="D172">
        <v>193642</v>
      </c>
      <c r="E172">
        <v>182474</v>
      </c>
      <c r="F172">
        <v>174388</v>
      </c>
      <c r="G172">
        <v>154928</v>
      </c>
      <c r="H172">
        <v>154928</v>
      </c>
      <c r="I172">
        <v>141573</v>
      </c>
      <c r="J172">
        <v>141573</v>
      </c>
      <c r="K172">
        <v>140936</v>
      </c>
      <c r="L172">
        <v>1</v>
      </c>
      <c r="M172">
        <v>76461</v>
      </c>
      <c r="N172">
        <v>1</v>
      </c>
      <c r="O172">
        <v>1</v>
      </c>
    </row>
    <row r="173" spans="1:15" hidden="1" x14ac:dyDescent="0.3">
      <c r="A173" t="s">
        <v>65</v>
      </c>
      <c r="B173" t="s">
        <v>66</v>
      </c>
      <c r="C173" t="s">
        <v>277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1</v>
      </c>
      <c r="M173">
        <v>0</v>
      </c>
      <c r="N173">
        <v>1</v>
      </c>
      <c r="O173">
        <v>1</v>
      </c>
    </row>
    <row r="174" spans="1:15" x14ac:dyDescent="0.3">
      <c r="A174" t="s">
        <v>65</v>
      </c>
      <c r="B174" t="s">
        <v>66</v>
      </c>
      <c r="C174" t="s">
        <v>276</v>
      </c>
      <c r="D174">
        <v>810</v>
      </c>
      <c r="E174">
        <v>8777</v>
      </c>
      <c r="F174">
        <v>5820</v>
      </c>
      <c r="G174">
        <v>3892</v>
      </c>
      <c r="H174">
        <v>0</v>
      </c>
      <c r="I174">
        <v>2681</v>
      </c>
      <c r="J174">
        <v>0</v>
      </c>
      <c r="K174">
        <v>637</v>
      </c>
      <c r="L174">
        <v>1</v>
      </c>
      <c r="M174">
        <v>0</v>
      </c>
      <c r="N174">
        <v>1</v>
      </c>
      <c r="O174">
        <v>1</v>
      </c>
    </row>
    <row r="175" spans="1:15" x14ac:dyDescent="0.3">
      <c r="A175" t="s">
        <v>65</v>
      </c>
      <c r="B175" t="s">
        <v>66</v>
      </c>
      <c r="C175" t="s">
        <v>281</v>
      </c>
      <c r="D175">
        <v>37095</v>
      </c>
      <c r="E175">
        <v>34472</v>
      </c>
      <c r="F175">
        <v>30180</v>
      </c>
      <c r="G175">
        <v>27066</v>
      </c>
      <c r="H175">
        <v>17748</v>
      </c>
      <c r="I175">
        <v>32709</v>
      </c>
      <c r="J175">
        <v>33721</v>
      </c>
      <c r="K175">
        <v>47279</v>
      </c>
      <c r="L175">
        <v>1</v>
      </c>
      <c r="M175">
        <v>21962</v>
      </c>
      <c r="N175">
        <v>1</v>
      </c>
      <c r="O175">
        <v>1</v>
      </c>
    </row>
    <row r="176" spans="1:15" x14ac:dyDescent="0.3">
      <c r="A176" t="s">
        <v>65</v>
      </c>
      <c r="B176" t="s">
        <v>66</v>
      </c>
      <c r="C176" t="s">
        <v>280</v>
      </c>
      <c r="D176">
        <v>34472</v>
      </c>
      <c r="E176">
        <v>30180</v>
      </c>
      <c r="F176">
        <v>27066</v>
      </c>
      <c r="G176">
        <v>17748</v>
      </c>
      <c r="H176">
        <v>32709</v>
      </c>
      <c r="I176">
        <v>33721</v>
      </c>
      <c r="J176">
        <v>47279</v>
      </c>
      <c r="K176">
        <v>72856</v>
      </c>
      <c r="L176">
        <v>1</v>
      </c>
      <c r="M176">
        <v>31157</v>
      </c>
      <c r="N176">
        <v>1</v>
      </c>
      <c r="O176">
        <v>1</v>
      </c>
    </row>
    <row r="177" spans="1:15" x14ac:dyDescent="0.3">
      <c r="A177" t="s">
        <v>65</v>
      </c>
      <c r="B177" t="s">
        <v>66</v>
      </c>
      <c r="C177" t="s">
        <v>284</v>
      </c>
      <c r="D177">
        <v>10485</v>
      </c>
      <c r="E177">
        <v>2391</v>
      </c>
      <c r="F177">
        <v>2266</v>
      </c>
      <c r="G177">
        <v>15568</v>
      </c>
      <c r="H177">
        <v>0</v>
      </c>
      <c r="I177">
        <v>10674</v>
      </c>
      <c r="J177">
        <v>0</v>
      </c>
      <c r="K177">
        <v>0</v>
      </c>
      <c r="L177">
        <v>1</v>
      </c>
      <c r="M177">
        <v>0</v>
      </c>
      <c r="N177">
        <v>1</v>
      </c>
      <c r="O177">
        <v>1</v>
      </c>
    </row>
    <row r="178" spans="1:15" x14ac:dyDescent="0.3">
      <c r="A178" t="s">
        <v>71</v>
      </c>
      <c r="B178" t="s">
        <v>72</v>
      </c>
      <c r="C178" t="s">
        <v>278</v>
      </c>
      <c r="D178">
        <v>71588</v>
      </c>
      <c r="E178">
        <v>78201</v>
      </c>
      <c r="F178">
        <v>63645</v>
      </c>
      <c r="G178">
        <v>52037</v>
      </c>
      <c r="H178">
        <v>45979</v>
      </c>
      <c r="I178">
        <v>39852</v>
      </c>
      <c r="J178">
        <v>33115</v>
      </c>
      <c r="K178">
        <v>26412</v>
      </c>
      <c r="L178">
        <v>20303</v>
      </c>
      <c r="M178">
        <v>14829</v>
      </c>
      <c r="N178">
        <v>10698</v>
      </c>
      <c r="O178">
        <v>8461</v>
      </c>
    </row>
    <row r="179" spans="1:15" x14ac:dyDescent="0.3">
      <c r="A179" t="s">
        <v>71</v>
      </c>
      <c r="B179" t="s">
        <v>72</v>
      </c>
      <c r="C179" t="s">
        <v>279</v>
      </c>
      <c r="D179">
        <v>78201</v>
      </c>
      <c r="E179">
        <v>63645</v>
      </c>
      <c r="F179">
        <v>52037</v>
      </c>
      <c r="G179">
        <v>45979</v>
      </c>
      <c r="H179">
        <v>39852</v>
      </c>
      <c r="I179">
        <v>33115</v>
      </c>
      <c r="J179">
        <v>26412</v>
      </c>
      <c r="K179">
        <v>20303</v>
      </c>
      <c r="L179">
        <v>14829</v>
      </c>
      <c r="M179">
        <v>10698</v>
      </c>
      <c r="N179">
        <v>8461</v>
      </c>
      <c r="O179">
        <v>6905</v>
      </c>
    </row>
    <row r="180" spans="1:15" x14ac:dyDescent="0.3">
      <c r="A180" t="s">
        <v>71</v>
      </c>
      <c r="B180" t="s">
        <v>72</v>
      </c>
      <c r="C180" t="s">
        <v>273</v>
      </c>
      <c r="D180">
        <v>17170</v>
      </c>
      <c r="E180">
        <v>14818</v>
      </c>
      <c r="F180">
        <v>12157</v>
      </c>
      <c r="G180">
        <v>6097</v>
      </c>
      <c r="H180">
        <v>6127</v>
      </c>
      <c r="I180">
        <v>6832</v>
      </c>
      <c r="J180">
        <v>6703</v>
      </c>
      <c r="K180">
        <v>6109</v>
      </c>
      <c r="L180">
        <v>5474</v>
      </c>
      <c r="M180">
        <v>4131</v>
      </c>
      <c r="N180">
        <v>2237</v>
      </c>
      <c r="O180">
        <v>1518</v>
      </c>
    </row>
    <row r="181" spans="1:15" hidden="1" x14ac:dyDescent="0.3">
      <c r="A181" t="s">
        <v>71</v>
      </c>
      <c r="B181" t="s">
        <v>72</v>
      </c>
      <c r="C181" t="s">
        <v>282</v>
      </c>
      <c r="D181">
        <v>22112</v>
      </c>
      <c r="E181">
        <v>97820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</row>
    <row r="182" spans="1:15" x14ac:dyDescent="0.3">
      <c r="A182" t="s">
        <v>71</v>
      </c>
      <c r="B182" t="s">
        <v>72</v>
      </c>
      <c r="C182" t="s">
        <v>274</v>
      </c>
      <c r="D182">
        <v>221645</v>
      </c>
      <c r="E182">
        <v>182706</v>
      </c>
      <c r="F182">
        <v>141253</v>
      </c>
      <c r="G182">
        <v>85143</v>
      </c>
      <c r="H182">
        <v>72493</v>
      </c>
      <c r="I182">
        <v>69555</v>
      </c>
      <c r="J182">
        <v>59404</v>
      </c>
      <c r="K182">
        <v>57859</v>
      </c>
      <c r="L182">
        <v>49393</v>
      </c>
      <c r="M182">
        <v>45088</v>
      </c>
      <c r="N182">
        <v>33911</v>
      </c>
      <c r="O182">
        <v>23085</v>
      </c>
    </row>
    <row r="183" spans="1:15" x14ac:dyDescent="0.3">
      <c r="A183" t="s">
        <v>71</v>
      </c>
      <c r="B183" t="s">
        <v>72</v>
      </c>
      <c r="C183" t="s">
        <v>275</v>
      </c>
      <c r="D183">
        <v>182706</v>
      </c>
      <c r="E183">
        <v>141253</v>
      </c>
      <c r="F183">
        <v>85143</v>
      </c>
      <c r="G183">
        <v>72493</v>
      </c>
      <c r="H183">
        <v>69555</v>
      </c>
      <c r="I183">
        <v>59404</v>
      </c>
      <c r="J183">
        <v>57859</v>
      </c>
      <c r="K183">
        <v>49393</v>
      </c>
      <c r="L183">
        <v>45088</v>
      </c>
      <c r="M183">
        <v>33911</v>
      </c>
      <c r="N183">
        <v>23085</v>
      </c>
      <c r="O183">
        <v>22636</v>
      </c>
    </row>
    <row r="184" spans="1:15" hidden="1" x14ac:dyDescent="0.3">
      <c r="A184" t="s">
        <v>71</v>
      </c>
      <c r="B184" t="s">
        <v>72</v>
      </c>
      <c r="C184" t="s">
        <v>277</v>
      </c>
      <c r="D184">
        <v>23789</v>
      </c>
      <c r="E184">
        <v>306</v>
      </c>
      <c r="F184">
        <v>549</v>
      </c>
      <c r="G184">
        <v>50</v>
      </c>
      <c r="H184">
        <v>0</v>
      </c>
      <c r="I184">
        <v>100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</row>
    <row r="185" spans="1:15" x14ac:dyDescent="0.3">
      <c r="A185" t="s">
        <v>71</v>
      </c>
      <c r="B185" t="s">
        <v>72</v>
      </c>
      <c r="C185" t="s">
        <v>276</v>
      </c>
      <c r="D185">
        <v>62728</v>
      </c>
      <c r="E185">
        <v>41759</v>
      </c>
      <c r="F185">
        <v>56659</v>
      </c>
      <c r="G185">
        <v>12700</v>
      </c>
      <c r="H185">
        <v>2938</v>
      </c>
      <c r="I185">
        <v>10251</v>
      </c>
      <c r="J185">
        <v>1545</v>
      </c>
      <c r="K185">
        <v>8466</v>
      </c>
      <c r="L185">
        <v>4305</v>
      </c>
      <c r="M185">
        <v>11177</v>
      </c>
      <c r="N185">
        <v>10826</v>
      </c>
      <c r="O185">
        <v>449</v>
      </c>
    </row>
    <row r="186" spans="1:15" x14ac:dyDescent="0.3">
      <c r="A186" t="s">
        <v>71</v>
      </c>
      <c r="B186" t="s">
        <v>72</v>
      </c>
      <c r="C186" t="s">
        <v>281</v>
      </c>
      <c r="D186">
        <v>150057</v>
      </c>
      <c r="E186">
        <v>104505</v>
      </c>
      <c r="F186">
        <v>77608</v>
      </c>
      <c r="G186">
        <v>33106</v>
      </c>
      <c r="H186">
        <v>26514</v>
      </c>
      <c r="I186">
        <v>29703</v>
      </c>
      <c r="J186">
        <v>26289</v>
      </c>
      <c r="K186">
        <v>31447</v>
      </c>
      <c r="L186">
        <v>29090</v>
      </c>
      <c r="M186">
        <v>30259</v>
      </c>
      <c r="N186">
        <v>23213</v>
      </c>
      <c r="O186">
        <v>14624</v>
      </c>
    </row>
    <row r="187" spans="1:15" x14ac:dyDescent="0.3">
      <c r="A187" t="s">
        <v>71</v>
      </c>
      <c r="B187" t="s">
        <v>72</v>
      </c>
      <c r="C187" t="s">
        <v>280</v>
      </c>
      <c r="D187">
        <v>104505</v>
      </c>
      <c r="E187">
        <v>77608</v>
      </c>
      <c r="F187">
        <v>33106</v>
      </c>
      <c r="G187">
        <v>26514</v>
      </c>
      <c r="H187">
        <v>29703</v>
      </c>
      <c r="I187">
        <v>26289</v>
      </c>
      <c r="J187">
        <v>31447</v>
      </c>
      <c r="K187">
        <v>29090</v>
      </c>
      <c r="L187">
        <v>30259</v>
      </c>
      <c r="M187">
        <v>23213</v>
      </c>
      <c r="N187">
        <v>14624</v>
      </c>
      <c r="O187">
        <v>15731</v>
      </c>
    </row>
    <row r="188" spans="1:15" x14ac:dyDescent="0.3">
      <c r="A188" t="s">
        <v>71</v>
      </c>
      <c r="B188" t="s">
        <v>72</v>
      </c>
      <c r="C188" t="s">
        <v>284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</row>
    <row r="189" spans="1:15" x14ac:dyDescent="0.3">
      <c r="A189" t="s">
        <v>69</v>
      </c>
      <c r="B189" t="s">
        <v>70</v>
      </c>
      <c r="C189" t="s">
        <v>278</v>
      </c>
      <c r="D189">
        <v>395074</v>
      </c>
      <c r="E189">
        <v>345233</v>
      </c>
      <c r="F189">
        <v>293658</v>
      </c>
      <c r="G189">
        <v>248547</v>
      </c>
      <c r="H189">
        <v>209676</v>
      </c>
      <c r="I189">
        <v>172794</v>
      </c>
      <c r="J189">
        <v>137084</v>
      </c>
      <c r="K189">
        <v>103709</v>
      </c>
      <c r="L189">
        <v>80424</v>
      </c>
      <c r="M189">
        <v>63674</v>
      </c>
      <c r="N189">
        <v>1</v>
      </c>
      <c r="O189">
        <v>1</v>
      </c>
    </row>
    <row r="190" spans="1:15" x14ac:dyDescent="0.3">
      <c r="A190" t="s">
        <v>69</v>
      </c>
      <c r="B190" t="s">
        <v>70</v>
      </c>
      <c r="C190" t="s">
        <v>279</v>
      </c>
      <c r="D190">
        <v>345233</v>
      </c>
      <c r="E190">
        <v>293658</v>
      </c>
      <c r="F190">
        <v>248547</v>
      </c>
      <c r="G190">
        <v>209676</v>
      </c>
      <c r="H190">
        <v>172794</v>
      </c>
      <c r="I190">
        <v>137084</v>
      </c>
      <c r="J190">
        <v>103709</v>
      </c>
      <c r="K190">
        <v>80424</v>
      </c>
      <c r="L190">
        <v>63674</v>
      </c>
      <c r="M190">
        <v>49339</v>
      </c>
      <c r="N190">
        <v>1</v>
      </c>
      <c r="O190">
        <v>1</v>
      </c>
    </row>
    <row r="191" spans="1:15" x14ac:dyDescent="0.3">
      <c r="A191" t="s">
        <v>69</v>
      </c>
      <c r="B191" t="s">
        <v>70</v>
      </c>
      <c r="C191" t="s">
        <v>273</v>
      </c>
      <c r="D191">
        <v>49757</v>
      </c>
      <c r="E191">
        <v>51575</v>
      </c>
      <c r="F191">
        <v>45111</v>
      </c>
      <c r="G191">
        <v>38871</v>
      </c>
      <c r="H191">
        <v>36882</v>
      </c>
      <c r="I191">
        <v>35709</v>
      </c>
      <c r="J191">
        <v>33375</v>
      </c>
      <c r="K191">
        <v>23285</v>
      </c>
      <c r="L191">
        <v>17524</v>
      </c>
      <c r="M191">
        <v>14335</v>
      </c>
      <c r="N191">
        <v>1</v>
      </c>
      <c r="O191">
        <v>1</v>
      </c>
    </row>
    <row r="192" spans="1:15" hidden="1" x14ac:dyDescent="0.3">
      <c r="A192" t="s">
        <v>69</v>
      </c>
      <c r="B192" t="s">
        <v>70</v>
      </c>
      <c r="C192" t="s">
        <v>282</v>
      </c>
      <c r="D192">
        <v>249525</v>
      </c>
      <c r="E192">
        <v>158957</v>
      </c>
      <c r="F192">
        <v>136326</v>
      </c>
      <c r="G192">
        <v>129424</v>
      </c>
      <c r="H192">
        <v>110884</v>
      </c>
      <c r="I192">
        <v>44128</v>
      </c>
      <c r="J192">
        <v>24125</v>
      </c>
      <c r="K192">
        <v>9059</v>
      </c>
      <c r="L192">
        <v>4414</v>
      </c>
      <c r="M192">
        <v>3906</v>
      </c>
      <c r="N192">
        <v>1</v>
      </c>
      <c r="O192">
        <v>1</v>
      </c>
    </row>
    <row r="193" spans="1:15" x14ac:dyDescent="0.3">
      <c r="A193" t="s">
        <v>69</v>
      </c>
      <c r="B193" t="s">
        <v>70</v>
      </c>
      <c r="C193" t="s">
        <v>274</v>
      </c>
      <c r="D193">
        <v>541634</v>
      </c>
      <c r="E193">
        <v>497805</v>
      </c>
      <c r="F193">
        <v>426898</v>
      </c>
      <c r="G193">
        <v>402758</v>
      </c>
      <c r="H193">
        <v>346348</v>
      </c>
      <c r="I193">
        <v>312870</v>
      </c>
      <c r="J193">
        <v>282866</v>
      </c>
      <c r="K193">
        <v>210191</v>
      </c>
      <c r="L193">
        <v>167230</v>
      </c>
      <c r="M193">
        <v>136028</v>
      </c>
      <c r="N193">
        <v>1</v>
      </c>
      <c r="O193">
        <v>1</v>
      </c>
    </row>
    <row r="194" spans="1:15" x14ac:dyDescent="0.3">
      <c r="A194" t="s">
        <v>69</v>
      </c>
      <c r="B194" t="s">
        <v>70</v>
      </c>
      <c r="C194" t="s">
        <v>275</v>
      </c>
      <c r="D194">
        <v>497805</v>
      </c>
      <c r="E194">
        <v>426898</v>
      </c>
      <c r="F194">
        <v>402758</v>
      </c>
      <c r="G194">
        <v>346348</v>
      </c>
      <c r="H194">
        <v>312870</v>
      </c>
      <c r="I194">
        <v>282866</v>
      </c>
      <c r="J194">
        <v>210191</v>
      </c>
      <c r="K194">
        <v>167230</v>
      </c>
      <c r="L194">
        <v>136028</v>
      </c>
      <c r="M194">
        <v>120860</v>
      </c>
      <c r="N194">
        <v>1</v>
      </c>
      <c r="O194">
        <v>1</v>
      </c>
    </row>
    <row r="195" spans="1:15" hidden="1" x14ac:dyDescent="0.3">
      <c r="A195" t="s">
        <v>69</v>
      </c>
      <c r="B195" t="s">
        <v>70</v>
      </c>
      <c r="C195" t="s">
        <v>277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833</v>
      </c>
      <c r="M195">
        <v>0</v>
      </c>
      <c r="N195">
        <v>1</v>
      </c>
      <c r="O195">
        <v>1</v>
      </c>
    </row>
    <row r="196" spans="1:15" x14ac:dyDescent="0.3">
      <c r="A196" t="s">
        <v>69</v>
      </c>
      <c r="B196" t="s">
        <v>70</v>
      </c>
      <c r="C196" t="s">
        <v>276</v>
      </c>
      <c r="D196">
        <v>28407</v>
      </c>
      <c r="E196">
        <v>8441</v>
      </c>
      <c r="F196">
        <v>19803</v>
      </c>
      <c r="G196">
        <v>31251</v>
      </c>
      <c r="H196">
        <v>23061</v>
      </c>
      <c r="I196">
        <v>19092</v>
      </c>
      <c r="J196">
        <v>61971</v>
      </c>
      <c r="K196">
        <v>16586</v>
      </c>
      <c r="L196">
        <v>20787</v>
      </c>
      <c r="M196">
        <v>15168</v>
      </c>
      <c r="N196">
        <v>1</v>
      </c>
      <c r="O196">
        <v>1</v>
      </c>
    </row>
    <row r="197" spans="1:15" x14ac:dyDescent="0.3">
      <c r="A197" t="s">
        <v>69</v>
      </c>
      <c r="B197" t="s">
        <v>70</v>
      </c>
      <c r="C197" t="s">
        <v>281</v>
      </c>
      <c r="D197">
        <v>146560</v>
      </c>
      <c r="E197">
        <v>152572</v>
      </c>
      <c r="F197">
        <v>133240</v>
      </c>
      <c r="G197">
        <v>154211</v>
      </c>
      <c r="H197">
        <v>136672</v>
      </c>
      <c r="I197">
        <v>140076</v>
      </c>
      <c r="J197">
        <v>145781</v>
      </c>
      <c r="K197">
        <v>106481</v>
      </c>
      <c r="L197">
        <v>86806</v>
      </c>
      <c r="M197">
        <v>72354</v>
      </c>
      <c r="N197">
        <v>1</v>
      </c>
      <c r="O197">
        <v>1</v>
      </c>
    </row>
    <row r="198" spans="1:15" x14ac:dyDescent="0.3">
      <c r="A198" t="s">
        <v>69</v>
      </c>
      <c r="B198" t="s">
        <v>70</v>
      </c>
      <c r="C198" t="s">
        <v>280</v>
      </c>
      <c r="D198">
        <v>152572</v>
      </c>
      <c r="E198">
        <v>133240</v>
      </c>
      <c r="F198">
        <v>154211</v>
      </c>
      <c r="G198">
        <v>136672</v>
      </c>
      <c r="H198">
        <v>140076</v>
      </c>
      <c r="I198">
        <v>145781</v>
      </c>
      <c r="J198">
        <v>106481</v>
      </c>
      <c r="K198">
        <v>86806</v>
      </c>
      <c r="L198">
        <v>72354</v>
      </c>
      <c r="M198">
        <v>71521</v>
      </c>
      <c r="N198">
        <v>1</v>
      </c>
      <c r="O198">
        <v>1</v>
      </c>
    </row>
    <row r="199" spans="1:15" x14ac:dyDescent="0.3">
      <c r="A199" t="s">
        <v>69</v>
      </c>
      <c r="B199" t="s">
        <v>70</v>
      </c>
      <c r="C199" t="s">
        <v>284</v>
      </c>
      <c r="D199">
        <v>15423</v>
      </c>
      <c r="E199">
        <v>41989</v>
      </c>
      <c r="F199">
        <v>4338</v>
      </c>
      <c r="G199">
        <v>25158</v>
      </c>
      <c r="H199">
        <v>10417</v>
      </c>
      <c r="I199">
        <v>10912</v>
      </c>
      <c r="J199">
        <v>10705</v>
      </c>
      <c r="K199">
        <v>26375</v>
      </c>
      <c r="L199">
        <v>11247</v>
      </c>
      <c r="M199">
        <v>0</v>
      </c>
      <c r="N199">
        <v>1</v>
      </c>
      <c r="O199">
        <v>1</v>
      </c>
    </row>
    <row r="200" spans="1:15" x14ac:dyDescent="0.3">
      <c r="A200" t="s">
        <v>91</v>
      </c>
      <c r="B200" t="s">
        <v>92</v>
      </c>
      <c r="C200" t="s">
        <v>278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</row>
    <row r="201" spans="1:15" x14ac:dyDescent="0.3">
      <c r="A201" t="s">
        <v>91</v>
      </c>
      <c r="B201" t="s">
        <v>92</v>
      </c>
      <c r="C201" t="s">
        <v>279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</row>
    <row r="202" spans="1:15" x14ac:dyDescent="0.3">
      <c r="A202" t="s">
        <v>91</v>
      </c>
      <c r="B202" t="s">
        <v>92</v>
      </c>
      <c r="C202" t="s">
        <v>273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</row>
    <row r="203" spans="1:15" hidden="1" x14ac:dyDescent="0.3">
      <c r="A203" t="s">
        <v>91</v>
      </c>
      <c r="B203" t="s">
        <v>92</v>
      </c>
      <c r="C203" t="s">
        <v>282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</row>
    <row r="204" spans="1:15" x14ac:dyDescent="0.3">
      <c r="A204" t="s">
        <v>91</v>
      </c>
      <c r="B204" t="s">
        <v>92</v>
      </c>
      <c r="C204" t="s">
        <v>274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</row>
    <row r="205" spans="1:15" x14ac:dyDescent="0.3">
      <c r="A205" t="s">
        <v>91</v>
      </c>
      <c r="B205" t="s">
        <v>92</v>
      </c>
      <c r="C205" t="s">
        <v>275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</row>
    <row r="206" spans="1:15" hidden="1" x14ac:dyDescent="0.3">
      <c r="A206" t="s">
        <v>91</v>
      </c>
      <c r="B206" t="s">
        <v>92</v>
      </c>
      <c r="C206" t="s">
        <v>277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</row>
    <row r="207" spans="1:15" x14ac:dyDescent="0.3">
      <c r="A207" t="s">
        <v>91</v>
      </c>
      <c r="B207" t="s">
        <v>92</v>
      </c>
      <c r="C207" t="s">
        <v>276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</row>
    <row r="208" spans="1:15" x14ac:dyDescent="0.3">
      <c r="A208" t="s">
        <v>91</v>
      </c>
      <c r="B208" t="s">
        <v>92</v>
      </c>
      <c r="C208" t="s">
        <v>281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</row>
    <row r="209" spans="1:15" x14ac:dyDescent="0.3">
      <c r="A209" t="s">
        <v>91</v>
      </c>
      <c r="B209" t="s">
        <v>92</v>
      </c>
      <c r="C209" t="s">
        <v>280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</row>
    <row r="210" spans="1:15" x14ac:dyDescent="0.3">
      <c r="A210" t="s">
        <v>91</v>
      </c>
      <c r="B210" t="s">
        <v>92</v>
      </c>
      <c r="C210" t="s">
        <v>284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</row>
    <row r="211" spans="1:15" x14ac:dyDescent="0.3">
      <c r="A211" t="s">
        <v>89</v>
      </c>
      <c r="B211" t="s">
        <v>90</v>
      </c>
      <c r="C211" t="s">
        <v>278</v>
      </c>
      <c r="D211">
        <v>84553</v>
      </c>
      <c r="E211">
        <v>70501</v>
      </c>
      <c r="F211">
        <v>60547</v>
      </c>
      <c r="G211">
        <v>57524</v>
      </c>
      <c r="H211">
        <v>57837</v>
      </c>
      <c r="I211">
        <v>56299</v>
      </c>
      <c r="J211">
        <v>55079</v>
      </c>
      <c r="K211">
        <v>53833</v>
      </c>
      <c r="L211">
        <v>51850</v>
      </c>
      <c r="M211">
        <v>48726</v>
      </c>
      <c r="N211">
        <v>45459</v>
      </c>
      <c r="O211">
        <v>40324</v>
      </c>
    </row>
    <row r="212" spans="1:15" x14ac:dyDescent="0.3">
      <c r="A212" t="s">
        <v>89</v>
      </c>
      <c r="B212" t="s">
        <v>90</v>
      </c>
      <c r="C212" t="s">
        <v>279</v>
      </c>
      <c r="D212">
        <v>70501</v>
      </c>
      <c r="E212">
        <v>60547</v>
      </c>
      <c r="F212">
        <v>57524</v>
      </c>
      <c r="G212">
        <v>57837</v>
      </c>
      <c r="H212">
        <v>56299</v>
      </c>
      <c r="I212">
        <v>55079</v>
      </c>
      <c r="J212">
        <v>53833</v>
      </c>
      <c r="K212">
        <v>51850</v>
      </c>
      <c r="L212">
        <v>48726</v>
      </c>
      <c r="M212">
        <v>45458</v>
      </c>
      <c r="N212">
        <v>40324</v>
      </c>
      <c r="O212">
        <v>35948</v>
      </c>
    </row>
    <row r="213" spans="1:15" x14ac:dyDescent="0.3">
      <c r="A213" t="s">
        <v>89</v>
      </c>
      <c r="B213" t="s">
        <v>90</v>
      </c>
      <c r="C213" t="s">
        <v>273</v>
      </c>
      <c r="D213">
        <v>14052</v>
      </c>
      <c r="E213">
        <v>10098</v>
      </c>
      <c r="F213">
        <v>3023</v>
      </c>
      <c r="G213">
        <v>-313</v>
      </c>
      <c r="H213">
        <v>1538</v>
      </c>
      <c r="I213">
        <v>1220</v>
      </c>
      <c r="J213">
        <v>1246</v>
      </c>
      <c r="K213">
        <v>1983</v>
      </c>
      <c r="L213">
        <v>3124</v>
      </c>
      <c r="M213">
        <v>3268</v>
      </c>
      <c r="N213">
        <v>5135</v>
      </c>
      <c r="O213">
        <v>4376</v>
      </c>
    </row>
    <row r="214" spans="1:15" hidden="1" x14ac:dyDescent="0.3">
      <c r="A214" t="s">
        <v>89</v>
      </c>
      <c r="B214" t="s">
        <v>90</v>
      </c>
      <c r="C214" t="s">
        <v>282</v>
      </c>
      <c r="D214">
        <v>58015</v>
      </c>
      <c r="E214">
        <v>49797</v>
      </c>
      <c r="F214">
        <v>49247</v>
      </c>
      <c r="G214">
        <v>51996</v>
      </c>
      <c r="H214">
        <v>52879</v>
      </c>
      <c r="I214">
        <v>52879</v>
      </c>
      <c r="J214">
        <v>52322</v>
      </c>
      <c r="K214">
        <v>52322</v>
      </c>
      <c r="L214">
        <v>41271</v>
      </c>
      <c r="M214">
        <v>41271</v>
      </c>
      <c r="N214">
        <v>71316</v>
      </c>
      <c r="O214">
        <v>0</v>
      </c>
    </row>
    <row r="215" spans="1:15" x14ac:dyDescent="0.3">
      <c r="A215" t="s">
        <v>89</v>
      </c>
      <c r="B215" t="s">
        <v>90</v>
      </c>
      <c r="C215" t="s">
        <v>274</v>
      </c>
      <c r="D215">
        <v>115887</v>
      </c>
      <c r="E215">
        <v>96451</v>
      </c>
      <c r="F215">
        <v>90913</v>
      </c>
      <c r="G215">
        <v>83841</v>
      </c>
      <c r="H215">
        <v>70457</v>
      </c>
      <c r="I215">
        <v>58609</v>
      </c>
      <c r="J215">
        <v>58609</v>
      </c>
      <c r="K215">
        <v>58009</v>
      </c>
      <c r="L215">
        <v>56061</v>
      </c>
      <c r="M215">
        <v>52668</v>
      </c>
      <c r="N215">
        <v>52668</v>
      </c>
      <c r="O215">
        <v>49457</v>
      </c>
    </row>
    <row r="216" spans="1:15" x14ac:dyDescent="0.3">
      <c r="A216" t="s">
        <v>89</v>
      </c>
      <c r="B216" t="s">
        <v>90</v>
      </c>
      <c r="C216" t="s">
        <v>275</v>
      </c>
      <c r="D216">
        <v>96451</v>
      </c>
      <c r="E216">
        <v>90913</v>
      </c>
      <c r="F216">
        <v>83841</v>
      </c>
      <c r="G216">
        <v>70457</v>
      </c>
      <c r="H216">
        <v>58609</v>
      </c>
      <c r="I216">
        <v>58609</v>
      </c>
      <c r="J216">
        <v>58009</v>
      </c>
      <c r="K216">
        <v>56061</v>
      </c>
      <c r="L216">
        <v>52668</v>
      </c>
      <c r="M216">
        <v>52668</v>
      </c>
      <c r="N216">
        <v>49457</v>
      </c>
      <c r="O216">
        <v>43815</v>
      </c>
    </row>
    <row r="217" spans="1:15" hidden="1" x14ac:dyDescent="0.3">
      <c r="A217" t="s">
        <v>89</v>
      </c>
      <c r="B217" t="s">
        <v>90</v>
      </c>
      <c r="C217" t="s">
        <v>277</v>
      </c>
      <c r="D217">
        <v>0</v>
      </c>
      <c r="E217">
        <v>4330</v>
      </c>
      <c r="F217">
        <v>4146</v>
      </c>
      <c r="G217">
        <v>4738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</row>
    <row r="218" spans="1:15" x14ac:dyDescent="0.3">
      <c r="A218" t="s">
        <v>89</v>
      </c>
      <c r="B218" t="s">
        <v>90</v>
      </c>
      <c r="C218" t="s">
        <v>276</v>
      </c>
      <c r="D218">
        <v>19436</v>
      </c>
      <c r="E218">
        <v>9868</v>
      </c>
      <c r="F218">
        <v>7072</v>
      </c>
      <c r="G218">
        <v>13384</v>
      </c>
      <c r="H218">
        <v>11848</v>
      </c>
      <c r="I218">
        <v>0</v>
      </c>
      <c r="J218">
        <v>600</v>
      </c>
      <c r="K218">
        <v>1948</v>
      </c>
      <c r="L218">
        <v>3393</v>
      </c>
      <c r="M218">
        <v>0</v>
      </c>
      <c r="N218">
        <v>3211</v>
      </c>
      <c r="O218">
        <v>5642</v>
      </c>
    </row>
    <row r="219" spans="1:15" x14ac:dyDescent="0.3">
      <c r="A219" t="s">
        <v>89</v>
      </c>
      <c r="B219" t="s">
        <v>90</v>
      </c>
      <c r="C219" t="s">
        <v>281</v>
      </c>
      <c r="D219">
        <v>31334</v>
      </c>
      <c r="E219">
        <v>25950</v>
      </c>
      <c r="F219">
        <v>30366</v>
      </c>
      <c r="G219">
        <v>26317</v>
      </c>
      <c r="H219">
        <v>12620</v>
      </c>
      <c r="I219">
        <v>2310</v>
      </c>
      <c r="J219">
        <v>3530</v>
      </c>
      <c r="K219">
        <v>4176</v>
      </c>
      <c r="L219">
        <v>4211</v>
      </c>
      <c r="M219">
        <v>3942</v>
      </c>
      <c r="N219">
        <v>7209</v>
      </c>
      <c r="O219">
        <v>9133</v>
      </c>
    </row>
    <row r="220" spans="1:15" x14ac:dyDescent="0.3">
      <c r="A220" t="s">
        <v>89</v>
      </c>
      <c r="B220" t="s">
        <v>90</v>
      </c>
      <c r="C220" t="s">
        <v>280</v>
      </c>
      <c r="D220">
        <v>25950</v>
      </c>
      <c r="E220">
        <v>30366</v>
      </c>
      <c r="F220">
        <v>26317</v>
      </c>
      <c r="G220">
        <v>12620</v>
      </c>
      <c r="H220">
        <v>2310</v>
      </c>
      <c r="I220">
        <v>3530</v>
      </c>
      <c r="J220">
        <v>4176</v>
      </c>
      <c r="K220">
        <v>4211</v>
      </c>
      <c r="L220">
        <v>3942</v>
      </c>
      <c r="M220">
        <v>7210</v>
      </c>
      <c r="N220">
        <v>9133</v>
      </c>
      <c r="O220">
        <v>7867</v>
      </c>
    </row>
    <row r="221" spans="1:15" x14ac:dyDescent="0.3">
      <c r="A221" t="s">
        <v>89</v>
      </c>
      <c r="B221" t="s">
        <v>90</v>
      </c>
      <c r="C221" t="s">
        <v>284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</row>
    <row r="222" spans="1:15" x14ac:dyDescent="0.3">
      <c r="A222" t="s">
        <v>93</v>
      </c>
      <c r="B222" t="s">
        <v>94</v>
      </c>
      <c r="C222" t="s">
        <v>278</v>
      </c>
      <c r="D222">
        <v>60956</v>
      </c>
      <c r="E222">
        <v>56206</v>
      </c>
      <c r="F222">
        <v>53030</v>
      </c>
      <c r="G222">
        <v>50436</v>
      </c>
      <c r="H222">
        <v>48842</v>
      </c>
      <c r="I222">
        <v>47689</v>
      </c>
      <c r="J222">
        <v>46662</v>
      </c>
      <c r="K222">
        <v>45822</v>
      </c>
      <c r="L222">
        <v>45330</v>
      </c>
      <c r="M222">
        <v>44752</v>
      </c>
      <c r="N222">
        <v>1</v>
      </c>
      <c r="O222">
        <v>39815</v>
      </c>
    </row>
    <row r="223" spans="1:15" x14ac:dyDescent="0.3">
      <c r="A223" t="s">
        <v>93</v>
      </c>
      <c r="B223" t="s">
        <v>94</v>
      </c>
      <c r="C223" t="s">
        <v>279</v>
      </c>
      <c r="D223">
        <v>56206</v>
      </c>
      <c r="E223">
        <v>53030</v>
      </c>
      <c r="F223">
        <v>50436</v>
      </c>
      <c r="G223">
        <v>48842</v>
      </c>
      <c r="H223">
        <v>47689</v>
      </c>
      <c r="I223">
        <v>46662</v>
      </c>
      <c r="J223">
        <v>45822</v>
      </c>
      <c r="K223">
        <v>45330</v>
      </c>
      <c r="L223">
        <v>44752</v>
      </c>
      <c r="M223">
        <v>42359</v>
      </c>
      <c r="N223">
        <v>1</v>
      </c>
      <c r="O223">
        <v>37110</v>
      </c>
    </row>
    <row r="224" spans="1:15" x14ac:dyDescent="0.3">
      <c r="A224" t="s">
        <v>93</v>
      </c>
      <c r="B224" t="s">
        <v>94</v>
      </c>
      <c r="C224" t="s">
        <v>273</v>
      </c>
      <c r="D224">
        <v>4750</v>
      </c>
      <c r="E224">
        <v>3176</v>
      </c>
      <c r="F224">
        <v>2594</v>
      </c>
      <c r="G224">
        <v>1594</v>
      </c>
      <c r="H224">
        <v>1153</v>
      </c>
      <c r="I224">
        <v>1027</v>
      </c>
      <c r="J224">
        <v>840</v>
      </c>
      <c r="K224">
        <v>492</v>
      </c>
      <c r="L224">
        <v>578</v>
      </c>
      <c r="M224">
        <v>2393</v>
      </c>
      <c r="N224">
        <v>1</v>
      </c>
      <c r="O224">
        <v>2705</v>
      </c>
    </row>
    <row r="225" spans="1:15" hidden="1" x14ac:dyDescent="0.3">
      <c r="A225" t="s">
        <v>93</v>
      </c>
      <c r="B225" t="s">
        <v>94</v>
      </c>
      <c r="C225" t="s">
        <v>282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1</v>
      </c>
      <c r="O225">
        <v>0</v>
      </c>
    </row>
    <row r="226" spans="1:15" x14ac:dyDescent="0.3">
      <c r="A226" t="s">
        <v>93</v>
      </c>
      <c r="B226" t="s">
        <v>94</v>
      </c>
      <c r="C226" t="s">
        <v>274</v>
      </c>
      <c r="D226">
        <v>73932</v>
      </c>
      <c r="E226">
        <v>68363</v>
      </c>
      <c r="F226">
        <v>61748</v>
      </c>
      <c r="G226">
        <v>57986</v>
      </c>
      <c r="H226">
        <v>51928</v>
      </c>
      <c r="I226">
        <v>50123</v>
      </c>
      <c r="J226">
        <v>50123</v>
      </c>
      <c r="K226">
        <v>48256</v>
      </c>
      <c r="L226">
        <v>46807</v>
      </c>
      <c r="M226">
        <v>46807</v>
      </c>
      <c r="N226">
        <v>1</v>
      </c>
      <c r="O226">
        <v>44914</v>
      </c>
    </row>
    <row r="227" spans="1:15" x14ac:dyDescent="0.3">
      <c r="A227" t="s">
        <v>93</v>
      </c>
      <c r="B227" t="s">
        <v>94</v>
      </c>
      <c r="C227" t="s">
        <v>275</v>
      </c>
      <c r="D227">
        <v>68363</v>
      </c>
      <c r="E227">
        <v>61748</v>
      </c>
      <c r="F227">
        <v>57986</v>
      </c>
      <c r="G227">
        <v>51928</v>
      </c>
      <c r="H227">
        <v>50123</v>
      </c>
      <c r="I227">
        <v>50123</v>
      </c>
      <c r="J227">
        <v>48256</v>
      </c>
      <c r="K227">
        <v>46807</v>
      </c>
      <c r="L227">
        <v>46807</v>
      </c>
      <c r="M227">
        <v>44914</v>
      </c>
      <c r="N227">
        <v>1</v>
      </c>
      <c r="O227">
        <v>44914</v>
      </c>
    </row>
    <row r="228" spans="1:15" hidden="1" x14ac:dyDescent="0.3">
      <c r="A228" t="s">
        <v>93</v>
      </c>
      <c r="B228" t="s">
        <v>94</v>
      </c>
      <c r="C228" t="s">
        <v>277</v>
      </c>
      <c r="D228">
        <v>0</v>
      </c>
      <c r="E228">
        <v>741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1</v>
      </c>
      <c r="O228">
        <v>0</v>
      </c>
    </row>
    <row r="229" spans="1:15" x14ac:dyDescent="0.3">
      <c r="A229" t="s">
        <v>93</v>
      </c>
      <c r="B229" t="s">
        <v>94</v>
      </c>
      <c r="C229" t="s">
        <v>276</v>
      </c>
      <c r="D229">
        <v>5569</v>
      </c>
      <c r="E229">
        <v>6615</v>
      </c>
      <c r="F229">
        <v>3762</v>
      </c>
      <c r="G229">
        <v>6058</v>
      </c>
      <c r="H229">
        <v>1805</v>
      </c>
      <c r="I229">
        <v>0</v>
      </c>
      <c r="J229">
        <v>1867</v>
      </c>
      <c r="K229">
        <v>1449</v>
      </c>
      <c r="L229">
        <v>0</v>
      </c>
      <c r="M229">
        <v>1893</v>
      </c>
      <c r="N229">
        <v>1</v>
      </c>
      <c r="O229">
        <v>0</v>
      </c>
    </row>
    <row r="230" spans="1:15" x14ac:dyDescent="0.3">
      <c r="A230" t="s">
        <v>93</v>
      </c>
      <c r="B230" t="s">
        <v>94</v>
      </c>
      <c r="C230" t="s">
        <v>281</v>
      </c>
      <c r="D230">
        <v>12976</v>
      </c>
      <c r="E230">
        <v>12157</v>
      </c>
      <c r="F230">
        <v>8718</v>
      </c>
      <c r="G230">
        <v>7550</v>
      </c>
      <c r="H230">
        <v>3086</v>
      </c>
      <c r="I230">
        <v>2434</v>
      </c>
      <c r="J230">
        <v>3461</v>
      </c>
      <c r="K230">
        <v>2434</v>
      </c>
      <c r="L230">
        <v>1477</v>
      </c>
      <c r="M230">
        <v>2055</v>
      </c>
      <c r="N230">
        <v>1</v>
      </c>
      <c r="O230">
        <v>5099</v>
      </c>
    </row>
    <row r="231" spans="1:15" x14ac:dyDescent="0.3">
      <c r="A231" t="s">
        <v>93</v>
      </c>
      <c r="B231" t="s">
        <v>94</v>
      </c>
      <c r="C231" t="s">
        <v>280</v>
      </c>
      <c r="D231">
        <v>12157</v>
      </c>
      <c r="E231">
        <v>8718</v>
      </c>
      <c r="F231">
        <v>7550</v>
      </c>
      <c r="G231">
        <v>3086</v>
      </c>
      <c r="H231">
        <v>2434</v>
      </c>
      <c r="I231">
        <v>3461</v>
      </c>
      <c r="J231">
        <v>2434</v>
      </c>
      <c r="K231">
        <v>1477</v>
      </c>
      <c r="L231">
        <v>2055</v>
      </c>
      <c r="M231">
        <v>2555</v>
      </c>
      <c r="N231">
        <v>1</v>
      </c>
      <c r="O231">
        <v>7804</v>
      </c>
    </row>
    <row r="232" spans="1:15" x14ac:dyDescent="0.3">
      <c r="A232" t="s">
        <v>93</v>
      </c>
      <c r="B232" t="s">
        <v>94</v>
      </c>
      <c r="C232" t="s">
        <v>284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1</v>
      </c>
      <c r="O232">
        <v>0</v>
      </c>
    </row>
    <row r="233" spans="1:15" x14ac:dyDescent="0.3">
      <c r="A233" t="s">
        <v>97</v>
      </c>
      <c r="B233" t="s">
        <v>97</v>
      </c>
      <c r="C233" t="s">
        <v>278</v>
      </c>
      <c r="D233">
        <v>380899</v>
      </c>
      <c r="E233">
        <v>335918</v>
      </c>
      <c r="F233">
        <v>305734</v>
      </c>
      <c r="G233">
        <v>295822</v>
      </c>
      <c r="H233">
        <v>278297</v>
      </c>
      <c r="I233">
        <v>263744</v>
      </c>
      <c r="J233">
        <v>245851</v>
      </c>
      <c r="K233">
        <v>199642</v>
      </c>
      <c r="L233">
        <v>178174</v>
      </c>
      <c r="M233">
        <v>160748</v>
      </c>
      <c r="N233">
        <v>130729</v>
      </c>
      <c r="O233">
        <v>103343</v>
      </c>
    </row>
    <row r="234" spans="1:15" x14ac:dyDescent="0.3">
      <c r="A234" t="s">
        <v>97</v>
      </c>
      <c r="B234" t="s">
        <v>97</v>
      </c>
      <c r="C234" t="s">
        <v>279</v>
      </c>
      <c r="D234">
        <v>335918</v>
      </c>
      <c r="E234">
        <v>305734</v>
      </c>
      <c r="F234">
        <v>295822</v>
      </c>
      <c r="G234">
        <v>278297</v>
      </c>
      <c r="H234">
        <v>263744</v>
      </c>
      <c r="I234">
        <v>245851</v>
      </c>
      <c r="J234">
        <v>199642</v>
      </c>
      <c r="K234">
        <v>178174</v>
      </c>
      <c r="L234">
        <v>160748</v>
      </c>
      <c r="M234">
        <v>130729</v>
      </c>
      <c r="N234">
        <v>103343</v>
      </c>
      <c r="O234">
        <v>103539</v>
      </c>
    </row>
    <row r="235" spans="1:15" x14ac:dyDescent="0.3">
      <c r="A235" t="s">
        <v>97</v>
      </c>
      <c r="B235" t="s">
        <v>97</v>
      </c>
      <c r="C235" t="s">
        <v>273</v>
      </c>
      <c r="D235">
        <v>44981</v>
      </c>
      <c r="E235">
        <v>30184</v>
      </c>
      <c r="F235">
        <v>9912</v>
      </c>
      <c r="G235">
        <v>17525</v>
      </c>
      <c r="H235">
        <v>14553</v>
      </c>
      <c r="I235">
        <v>17893</v>
      </c>
      <c r="J235">
        <v>46209</v>
      </c>
      <c r="K235">
        <v>21468</v>
      </c>
      <c r="L235">
        <v>17426</v>
      </c>
      <c r="M235">
        <v>30019</v>
      </c>
      <c r="N235">
        <v>27386</v>
      </c>
      <c r="O235">
        <v>-196</v>
      </c>
    </row>
    <row r="236" spans="1:15" hidden="1" x14ac:dyDescent="0.3">
      <c r="A236" t="s">
        <v>97</v>
      </c>
      <c r="B236" t="s">
        <v>97</v>
      </c>
      <c r="C236" t="s">
        <v>282</v>
      </c>
      <c r="D236">
        <v>256961</v>
      </c>
      <c r="E236">
        <v>234418</v>
      </c>
      <c r="F236">
        <v>219994</v>
      </c>
      <c r="G236">
        <v>230623</v>
      </c>
      <c r="H236">
        <v>231478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</row>
    <row r="237" spans="1:15" x14ac:dyDescent="0.3">
      <c r="A237" t="s">
        <v>97</v>
      </c>
      <c r="B237" t="s">
        <v>97</v>
      </c>
      <c r="C237" t="s">
        <v>274</v>
      </c>
      <c r="D237">
        <v>735970</v>
      </c>
      <c r="E237">
        <v>480604</v>
      </c>
      <c r="F237">
        <v>442555</v>
      </c>
      <c r="G237">
        <v>401253</v>
      </c>
      <c r="H237">
        <v>373793</v>
      </c>
      <c r="I237">
        <v>314512</v>
      </c>
      <c r="J237">
        <v>278157</v>
      </c>
      <c r="K237">
        <v>219319</v>
      </c>
      <c r="L237">
        <v>211811</v>
      </c>
      <c r="M237">
        <v>207848</v>
      </c>
      <c r="N237">
        <v>183424</v>
      </c>
      <c r="O237">
        <v>179022</v>
      </c>
    </row>
    <row r="238" spans="1:15" x14ac:dyDescent="0.3">
      <c r="A238" t="s">
        <v>97</v>
      </c>
      <c r="B238" t="s">
        <v>97</v>
      </c>
      <c r="C238" t="s">
        <v>275</v>
      </c>
      <c r="D238">
        <v>480604</v>
      </c>
      <c r="E238">
        <v>442555</v>
      </c>
      <c r="F238">
        <v>401253</v>
      </c>
      <c r="G238">
        <v>373793</v>
      </c>
      <c r="H238">
        <v>314512</v>
      </c>
      <c r="I238">
        <v>278157</v>
      </c>
      <c r="J238">
        <v>219319</v>
      </c>
      <c r="K238">
        <v>211811</v>
      </c>
      <c r="L238">
        <v>207848</v>
      </c>
      <c r="M238">
        <v>183424</v>
      </c>
      <c r="N238">
        <v>179022</v>
      </c>
      <c r="O238">
        <v>198494</v>
      </c>
    </row>
    <row r="239" spans="1:15" hidden="1" x14ac:dyDescent="0.3">
      <c r="A239" t="s">
        <v>97</v>
      </c>
      <c r="B239" t="s">
        <v>97</v>
      </c>
      <c r="C239" t="s">
        <v>277</v>
      </c>
      <c r="D239">
        <v>0</v>
      </c>
      <c r="E239">
        <v>0</v>
      </c>
      <c r="F239">
        <v>0</v>
      </c>
      <c r="G239">
        <v>96</v>
      </c>
      <c r="H239">
        <v>0</v>
      </c>
      <c r="I239">
        <v>1214</v>
      </c>
      <c r="J239">
        <v>0</v>
      </c>
      <c r="K239">
        <v>2756</v>
      </c>
      <c r="L239">
        <v>0</v>
      </c>
      <c r="M239">
        <v>0</v>
      </c>
      <c r="N239">
        <v>0</v>
      </c>
      <c r="O239">
        <v>34927</v>
      </c>
    </row>
    <row r="240" spans="1:15" x14ac:dyDescent="0.3">
      <c r="A240" t="s">
        <v>97</v>
      </c>
      <c r="B240" t="s">
        <v>97</v>
      </c>
      <c r="C240" t="s">
        <v>276</v>
      </c>
      <c r="D240">
        <v>255366</v>
      </c>
      <c r="E240">
        <v>38049</v>
      </c>
      <c r="F240">
        <v>41302</v>
      </c>
      <c r="G240">
        <v>27460</v>
      </c>
      <c r="H240">
        <v>59281</v>
      </c>
      <c r="I240">
        <v>37569</v>
      </c>
      <c r="J240">
        <v>58838</v>
      </c>
      <c r="K240">
        <v>10264</v>
      </c>
      <c r="L240">
        <v>13750</v>
      </c>
      <c r="M240">
        <v>24424</v>
      </c>
      <c r="N240">
        <v>4402</v>
      </c>
      <c r="O240">
        <v>15455</v>
      </c>
    </row>
    <row r="241" spans="1:15" x14ac:dyDescent="0.3">
      <c r="A241" t="s">
        <v>97</v>
      </c>
      <c r="B241" t="s">
        <v>97</v>
      </c>
      <c r="C241" t="s">
        <v>281</v>
      </c>
      <c r="D241">
        <v>355071</v>
      </c>
      <c r="E241">
        <v>144686</v>
      </c>
      <c r="F241">
        <v>136821</v>
      </c>
      <c r="G241">
        <v>105431</v>
      </c>
      <c r="H241">
        <v>95496</v>
      </c>
      <c r="I241">
        <v>50768</v>
      </c>
      <c r="J241">
        <v>32306</v>
      </c>
      <c r="K241">
        <v>19677</v>
      </c>
      <c r="L241">
        <v>33637</v>
      </c>
      <c r="M241">
        <v>47100</v>
      </c>
      <c r="N241">
        <v>52695</v>
      </c>
      <c r="O241">
        <v>75679</v>
      </c>
    </row>
    <row r="242" spans="1:15" x14ac:dyDescent="0.3">
      <c r="A242" t="s">
        <v>97</v>
      </c>
      <c r="B242" t="s">
        <v>97</v>
      </c>
      <c r="C242" t="s">
        <v>280</v>
      </c>
      <c r="D242">
        <v>144686</v>
      </c>
      <c r="E242">
        <v>136821</v>
      </c>
      <c r="F242">
        <v>105431</v>
      </c>
      <c r="G242">
        <v>95496</v>
      </c>
      <c r="H242">
        <v>50768</v>
      </c>
      <c r="I242">
        <v>32306</v>
      </c>
      <c r="J242">
        <v>19677</v>
      </c>
      <c r="K242">
        <v>33637</v>
      </c>
      <c r="L242">
        <v>47100</v>
      </c>
      <c r="M242">
        <v>52695</v>
      </c>
      <c r="N242">
        <v>75679</v>
      </c>
      <c r="O242">
        <v>94955</v>
      </c>
    </row>
    <row r="243" spans="1:15" x14ac:dyDescent="0.3">
      <c r="A243" t="s">
        <v>97</v>
      </c>
      <c r="B243" t="s">
        <v>97</v>
      </c>
      <c r="C243" t="s">
        <v>284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</row>
    <row r="244" spans="1:15" x14ac:dyDescent="0.3">
      <c r="A244" t="s">
        <v>95</v>
      </c>
      <c r="B244" t="s">
        <v>96</v>
      </c>
      <c r="C244" t="s">
        <v>278</v>
      </c>
      <c r="D244">
        <v>353815</v>
      </c>
      <c r="E244">
        <v>274286</v>
      </c>
      <c r="F244">
        <v>228903</v>
      </c>
      <c r="G244">
        <v>188542</v>
      </c>
      <c r="H244">
        <v>158449</v>
      </c>
      <c r="I244">
        <v>153545</v>
      </c>
      <c r="J244">
        <v>138149</v>
      </c>
      <c r="K244">
        <v>119032</v>
      </c>
      <c r="L244">
        <v>98349</v>
      </c>
      <c r="M244">
        <v>77507</v>
      </c>
      <c r="N244">
        <v>1</v>
      </c>
      <c r="O244">
        <v>1</v>
      </c>
    </row>
    <row r="245" spans="1:15" x14ac:dyDescent="0.3">
      <c r="A245" t="s">
        <v>95</v>
      </c>
      <c r="B245" t="s">
        <v>96</v>
      </c>
      <c r="C245" t="s">
        <v>279</v>
      </c>
      <c r="D245">
        <v>274287</v>
      </c>
      <c r="E245">
        <v>228903</v>
      </c>
      <c r="F245">
        <v>188542</v>
      </c>
      <c r="G245">
        <v>158449</v>
      </c>
      <c r="H245">
        <v>153545</v>
      </c>
      <c r="I245">
        <v>138149</v>
      </c>
      <c r="J245">
        <v>119032</v>
      </c>
      <c r="K245">
        <v>98349</v>
      </c>
      <c r="L245">
        <v>83780</v>
      </c>
      <c r="M245">
        <v>66514</v>
      </c>
      <c r="N245">
        <v>1</v>
      </c>
      <c r="O245">
        <v>1</v>
      </c>
    </row>
    <row r="246" spans="1:15" x14ac:dyDescent="0.3">
      <c r="A246" t="s">
        <v>95</v>
      </c>
      <c r="B246" t="s">
        <v>96</v>
      </c>
      <c r="C246" t="s">
        <v>273</v>
      </c>
      <c r="D246">
        <v>79528</v>
      </c>
      <c r="E246">
        <v>45383</v>
      </c>
      <c r="F246">
        <v>40361</v>
      </c>
      <c r="G246">
        <v>30093</v>
      </c>
      <c r="H246">
        <v>4904</v>
      </c>
      <c r="I246">
        <v>24372</v>
      </c>
      <c r="J246">
        <v>19117</v>
      </c>
      <c r="K246">
        <v>20683</v>
      </c>
      <c r="L246">
        <v>14569</v>
      </c>
      <c r="M246">
        <v>10993</v>
      </c>
      <c r="N246">
        <v>1</v>
      </c>
      <c r="O246">
        <v>1</v>
      </c>
    </row>
    <row r="247" spans="1:15" hidden="1" x14ac:dyDescent="0.3">
      <c r="A247" t="s">
        <v>95</v>
      </c>
      <c r="B247" t="s">
        <v>96</v>
      </c>
      <c r="C247" t="s">
        <v>282</v>
      </c>
      <c r="D247">
        <v>0</v>
      </c>
      <c r="E247">
        <v>58870</v>
      </c>
      <c r="F247">
        <v>47891</v>
      </c>
      <c r="G247">
        <v>36215</v>
      </c>
      <c r="H247">
        <v>21447</v>
      </c>
      <c r="I247">
        <v>24204</v>
      </c>
      <c r="J247">
        <v>11700</v>
      </c>
      <c r="K247">
        <v>0</v>
      </c>
      <c r="L247">
        <v>501</v>
      </c>
      <c r="M247">
        <v>0</v>
      </c>
      <c r="N247">
        <v>1</v>
      </c>
      <c r="O247">
        <v>1</v>
      </c>
    </row>
    <row r="248" spans="1:15" x14ac:dyDescent="0.3">
      <c r="A248" t="s">
        <v>95</v>
      </c>
      <c r="B248" t="s">
        <v>96</v>
      </c>
      <c r="C248" t="s">
        <v>274</v>
      </c>
      <c r="D248">
        <v>795340</v>
      </c>
      <c r="E248">
        <v>609020</v>
      </c>
      <c r="F248">
        <v>558122</v>
      </c>
      <c r="G248">
        <v>456580</v>
      </c>
      <c r="H248">
        <v>371507</v>
      </c>
      <c r="I248">
        <v>348815</v>
      </c>
      <c r="J248">
        <v>300881</v>
      </c>
      <c r="K248">
        <v>274958</v>
      </c>
      <c r="L248">
        <v>242951</v>
      </c>
      <c r="M248">
        <v>165980</v>
      </c>
      <c r="N248">
        <v>1</v>
      </c>
      <c r="O248">
        <v>1</v>
      </c>
    </row>
    <row r="249" spans="1:15" x14ac:dyDescent="0.3">
      <c r="A249" t="s">
        <v>95</v>
      </c>
      <c r="B249" t="s">
        <v>96</v>
      </c>
      <c r="C249" t="s">
        <v>275</v>
      </c>
      <c r="D249">
        <v>609018</v>
      </c>
      <c r="E249">
        <v>558122</v>
      </c>
      <c r="F249">
        <v>456580</v>
      </c>
      <c r="G249">
        <v>371507</v>
      </c>
      <c r="H249">
        <v>348816</v>
      </c>
      <c r="I249">
        <v>300881</v>
      </c>
      <c r="J249">
        <v>274958</v>
      </c>
      <c r="K249">
        <v>242951</v>
      </c>
      <c r="L249">
        <v>174927</v>
      </c>
      <c r="M249">
        <v>143971</v>
      </c>
      <c r="N249">
        <v>1</v>
      </c>
      <c r="O249">
        <v>1</v>
      </c>
    </row>
    <row r="250" spans="1:15" hidden="1" x14ac:dyDescent="0.3">
      <c r="A250" t="s">
        <v>95</v>
      </c>
      <c r="B250" t="s">
        <v>96</v>
      </c>
      <c r="C250" t="s">
        <v>277</v>
      </c>
      <c r="D250">
        <v>2985</v>
      </c>
      <c r="E250">
        <v>0</v>
      </c>
      <c r="F250">
        <v>0</v>
      </c>
      <c r="G250">
        <v>1071</v>
      </c>
      <c r="H250">
        <v>24315</v>
      </c>
      <c r="I250">
        <v>0</v>
      </c>
      <c r="J250">
        <v>0</v>
      </c>
      <c r="K250">
        <v>0</v>
      </c>
      <c r="L250">
        <v>1268</v>
      </c>
      <c r="M250">
        <v>0</v>
      </c>
      <c r="N250">
        <v>1</v>
      </c>
      <c r="O250">
        <v>1</v>
      </c>
    </row>
    <row r="251" spans="1:15" x14ac:dyDescent="0.3">
      <c r="A251" t="s">
        <v>95</v>
      </c>
      <c r="B251" t="s">
        <v>96</v>
      </c>
      <c r="C251" t="s">
        <v>276</v>
      </c>
      <c r="D251">
        <v>189307</v>
      </c>
      <c r="E251">
        <v>50898</v>
      </c>
      <c r="F251">
        <v>101542</v>
      </c>
      <c r="G251">
        <v>86144</v>
      </c>
      <c r="H251">
        <v>47006</v>
      </c>
      <c r="I251">
        <v>62636</v>
      </c>
      <c r="J251">
        <v>25923</v>
      </c>
      <c r="K251">
        <v>32007</v>
      </c>
      <c r="L251">
        <v>69292</v>
      </c>
      <c r="M251">
        <v>22009</v>
      </c>
      <c r="N251">
        <v>1</v>
      </c>
      <c r="O251">
        <v>1</v>
      </c>
    </row>
    <row r="252" spans="1:15" x14ac:dyDescent="0.3">
      <c r="A252" t="s">
        <v>95</v>
      </c>
      <c r="B252" t="s">
        <v>96</v>
      </c>
      <c r="C252" t="s">
        <v>281</v>
      </c>
      <c r="D252">
        <v>441525</v>
      </c>
      <c r="E252">
        <v>334734</v>
      </c>
      <c r="F252">
        <v>329219</v>
      </c>
      <c r="G252">
        <v>268038</v>
      </c>
      <c r="H252">
        <v>213058</v>
      </c>
      <c r="I252">
        <v>195270</v>
      </c>
      <c r="J252">
        <v>162732</v>
      </c>
      <c r="K252">
        <v>155926</v>
      </c>
      <c r="L252">
        <v>144602</v>
      </c>
      <c r="M252">
        <v>88473</v>
      </c>
      <c r="N252">
        <v>1</v>
      </c>
      <c r="O252">
        <v>1</v>
      </c>
    </row>
    <row r="253" spans="1:15" x14ac:dyDescent="0.3">
      <c r="A253" t="s">
        <v>95</v>
      </c>
      <c r="B253" t="s">
        <v>96</v>
      </c>
      <c r="C253" t="s">
        <v>280</v>
      </c>
      <c r="D253">
        <v>334731</v>
      </c>
      <c r="E253">
        <v>329219</v>
      </c>
      <c r="F253">
        <v>268038</v>
      </c>
      <c r="G253">
        <v>213058</v>
      </c>
      <c r="H253">
        <v>195271</v>
      </c>
      <c r="I253">
        <v>162732</v>
      </c>
      <c r="J253">
        <v>155926</v>
      </c>
      <c r="K253">
        <v>144602</v>
      </c>
      <c r="L253">
        <v>91147</v>
      </c>
      <c r="M253">
        <v>77457</v>
      </c>
      <c r="N253">
        <v>1</v>
      </c>
      <c r="O253">
        <v>1</v>
      </c>
    </row>
    <row r="254" spans="1:15" x14ac:dyDescent="0.3">
      <c r="A254" t="s">
        <v>95</v>
      </c>
      <c r="B254" t="s">
        <v>96</v>
      </c>
      <c r="C254" t="s">
        <v>284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1</v>
      </c>
      <c r="O254">
        <v>1</v>
      </c>
    </row>
    <row r="255" spans="1:15" x14ac:dyDescent="0.3">
      <c r="A255" t="s">
        <v>87</v>
      </c>
      <c r="B255" t="s">
        <v>88</v>
      </c>
      <c r="C255" t="s">
        <v>278</v>
      </c>
      <c r="D255">
        <v>2116634</v>
      </c>
      <c r="E255">
        <v>1942426</v>
      </c>
      <c r="F255">
        <v>1700669</v>
      </c>
      <c r="G255">
        <v>1400096</v>
      </c>
      <c r="H255">
        <v>1197785</v>
      </c>
      <c r="I255">
        <v>1015375</v>
      </c>
      <c r="J255">
        <v>860745</v>
      </c>
      <c r="K255">
        <v>743114</v>
      </c>
      <c r="L255">
        <v>669780</v>
      </c>
      <c r="M255">
        <v>608136</v>
      </c>
      <c r="N255">
        <v>534145</v>
      </c>
      <c r="O255">
        <v>406962</v>
      </c>
    </row>
    <row r="256" spans="1:15" x14ac:dyDescent="0.3">
      <c r="A256" t="s">
        <v>87</v>
      </c>
      <c r="B256" t="s">
        <v>88</v>
      </c>
      <c r="C256" t="s">
        <v>279</v>
      </c>
      <c r="D256">
        <v>1942426</v>
      </c>
      <c r="E256">
        <v>1700669</v>
      </c>
      <c r="F256">
        <v>1400096</v>
      </c>
      <c r="G256">
        <v>1197785</v>
      </c>
      <c r="H256">
        <v>1015375</v>
      </c>
      <c r="I256">
        <v>860745</v>
      </c>
      <c r="J256">
        <v>743114</v>
      </c>
      <c r="K256">
        <v>669780</v>
      </c>
      <c r="L256">
        <v>608136</v>
      </c>
      <c r="M256">
        <v>534145</v>
      </c>
      <c r="N256">
        <v>406962</v>
      </c>
      <c r="O256">
        <v>323106</v>
      </c>
    </row>
    <row r="257" spans="1:15" x14ac:dyDescent="0.3">
      <c r="A257" t="s">
        <v>87</v>
      </c>
      <c r="B257" t="s">
        <v>88</v>
      </c>
      <c r="C257" t="s">
        <v>273</v>
      </c>
      <c r="D257">
        <v>174208</v>
      </c>
      <c r="E257">
        <v>241757</v>
      </c>
      <c r="F257">
        <v>300573</v>
      </c>
      <c r="G257">
        <v>202311</v>
      </c>
      <c r="H257">
        <v>182410</v>
      </c>
      <c r="I257">
        <v>154630</v>
      </c>
      <c r="J257">
        <v>117631</v>
      </c>
      <c r="K257">
        <v>73334</v>
      </c>
      <c r="L257">
        <v>61644</v>
      </c>
      <c r="M257">
        <v>73991</v>
      </c>
      <c r="N257">
        <v>127183</v>
      </c>
      <c r="O257">
        <v>83856</v>
      </c>
    </row>
    <row r="258" spans="1:15" hidden="1" x14ac:dyDescent="0.3">
      <c r="A258" t="s">
        <v>87</v>
      </c>
      <c r="B258" t="s">
        <v>88</v>
      </c>
      <c r="C258" t="s">
        <v>282</v>
      </c>
      <c r="D258">
        <v>1742128</v>
      </c>
      <c r="E258">
        <v>1598038</v>
      </c>
      <c r="F258">
        <v>1210605</v>
      </c>
      <c r="G258">
        <v>880969</v>
      </c>
      <c r="H258">
        <v>825346</v>
      </c>
      <c r="I258">
        <v>772102</v>
      </c>
      <c r="J258">
        <v>610911</v>
      </c>
      <c r="K258">
        <v>560308</v>
      </c>
      <c r="L258">
        <v>524566</v>
      </c>
      <c r="M258">
        <v>438349</v>
      </c>
      <c r="N258">
        <v>353986</v>
      </c>
      <c r="O258">
        <v>176538</v>
      </c>
    </row>
    <row r="259" spans="1:15" x14ac:dyDescent="0.3">
      <c r="A259" t="s">
        <v>87</v>
      </c>
      <c r="B259" t="s">
        <v>88</v>
      </c>
      <c r="C259" t="s">
        <v>274</v>
      </c>
      <c r="D259">
        <v>2511858</v>
      </c>
      <c r="E259">
        <v>2387927</v>
      </c>
      <c r="F259">
        <v>2143860</v>
      </c>
      <c r="G259">
        <v>1903229</v>
      </c>
      <c r="H259">
        <v>1790062</v>
      </c>
      <c r="I259">
        <v>1611305</v>
      </c>
      <c r="J259">
        <v>1230582</v>
      </c>
      <c r="K259">
        <v>959957</v>
      </c>
      <c r="L259">
        <v>859674</v>
      </c>
      <c r="M259">
        <v>801302</v>
      </c>
      <c r="N259">
        <v>738349</v>
      </c>
      <c r="O259">
        <v>554416</v>
      </c>
    </row>
    <row r="260" spans="1:15" x14ac:dyDescent="0.3">
      <c r="A260" t="s">
        <v>87</v>
      </c>
      <c r="B260" t="s">
        <v>88</v>
      </c>
      <c r="C260" t="s">
        <v>275</v>
      </c>
      <c r="D260">
        <v>2387927</v>
      </c>
      <c r="E260">
        <v>2143860</v>
      </c>
      <c r="F260">
        <v>1903229</v>
      </c>
      <c r="G260">
        <v>1790062</v>
      </c>
      <c r="H260">
        <v>1611305</v>
      </c>
      <c r="I260">
        <v>1230582</v>
      </c>
      <c r="J260">
        <v>959957</v>
      </c>
      <c r="K260">
        <v>859674</v>
      </c>
      <c r="L260">
        <v>801302</v>
      </c>
      <c r="M260">
        <v>738349</v>
      </c>
      <c r="N260">
        <v>554416</v>
      </c>
      <c r="O260">
        <v>510629</v>
      </c>
    </row>
    <row r="261" spans="1:15" hidden="1" x14ac:dyDescent="0.3">
      <c r="A261" t="s">
        <v>87</v>
      </c>
      <c r="B261" t="s">
        <v>88</v>
      </c>
      <c r="C261" t="s">
        <v>277</v>
      </c>
      <c r="D261">
        <v>21770</v>
      </c>
      <c r="E261">
        <v>9402</v>
      </c>
      <c r="F261">
        <v>1934</v>
      </c>
      <c r="G261">
        <v>2800</v>
      </c>
      <c r="H261">
        <v>0</v>
      </c>
      <c r="I261">
        <v>135</v>
      </c>
      <c r="J261">
        <v>107</v>
      </c>
      <c r="K261">
        <v>184</v>
      </c>
      <c r="L261">
        <v>5242</v>
      </c>
      <c r="M261">
        <v>0</v>
      </c>
      <c r="N261">
        <v>33</v>
      </c>
      <c r="O261">
        <v>0</v>
      </c>
    </row>
    <row r="262" spans="1:15" x14ac:dyDescent="0.3">
      <c r="A262" t="s">
        <v>87</v>
      </c>
      <c r="B262" t="s">
        <v>88</v>
      </c>
      <c r="C262" t="s">
        <v>276</v>
      </c>
      <c r="D262">
        <v>145701</v>
      </c>
      <c r="E262">
        <v>244067</v>
      </c>
      <c r="F262">
        <v>240631</v>
      </c>
      <c r="G262">
        <v>113167</v>
      </c>
      <c r="H262">
        <v>178757</v>
      </c>
      <c r="I262">
        <v>380723</v>
      </c>
      <c r="J262">
        <v>270625</v>
      </c>
      <c r="K262">
        <v>100283</v>
      </c>
      <c r="L262">
        <v>58372</v>
      </c>
      <c r="M262">
        <v>62953</v>
      </c>
      <c r="N262">
        <v>183933</v>
      </c>
      <c r="O262">
        <v>43787</v>
      </c>
    </row>
    <row r="263" spans="1:15" x14ac:dyDescent="0.3">
      <c r="A263" t="s">
        <v>87</v>
      </c>
      <c r="B263" t="s">
        <v>88</v>
      </c>
      <c r="C263" t="s">
        <v>281</v>
      </c>
      <c r="D263">
        <v>395224</v>
      </c>
      <c r="E263">
        <v>445501</v>
      </c>
      <c r="F263">
        <v>443191</v>
      </c>
      <c r="G263">
        <v>503133</v>
      </c>
      <c r="H263">
        <v>592277</v>
      </c>
      <c r="I263">
        <v>595930</v>
      </c>
      <c r="J263">
        <v>369837</v>
      </c>
      <c r="K263">
        <v>216843</v>
      </c>
      <c r="L263">
        <v>189894</v>
      </c>
      <c r="M263">
        <v>193166</v>
      </c>
      <c r="N263">
        <v>204204</v>
      </c>
      <c r="O263">
        <v>147454</v>
      </c>
    </row>
    <row r="264" spans="1:15" x14ac:dyDescent="0.3">
      <c r="A264" t="s">
        <v>87</v>
      </c>
      <c r="B264" t="s">
        <v>88</v>
      </c>
      <c r="C264" t="s">
        <v>280</v>
      </c>
      <c r="D264">
        <v>445501</v>
      </c>
      <c r="E264">
        <v>443191</v>
      </c>
      <c r="F264">
        <v>503133</v>
      </c>
      <c r="G264">
        <v>592277</v>
      </c>
      <c r="H264">
        <v>595930</v>
      </c>
      <c r="I264">
        <v>369837</v>
      </c>
      <c r="J264">
        <v>216843</v>
      </c>
      <c r="K264">
        <v>189894</v>
      </c>
      <c r="L264">
        <v>193166</v>
      </c>
      <c r="M264">
        <v>204204</v>
      </c>
      <c r="N264">
        <v>147454</v>
      </c>
      <c r="O264">
        <v>187523</v>
      </c>
    </row>
    <row r="265" spans="1:15" x14ac:dyDescent="0.3">
      <c r="A265" t="s">
        <v>87</v>
      </c>
      <c r="B265" t="s">
        <v>88</v>
      </c>
      <c r="C265" t="s">
        <v>284</v>
      </c>
      <c r="D265">
        <v>136214</v>
      </c>
      <c r="E265">
        <v>245835</v>
      </c>
      <c r="F265">
        <v>236862</v>
      </c>
      <c r="G265">
        <v>94629</v>
      </c>
      <c r="H265">
        <v>172121</v>
      </c>
      <c r="I265">
        <v>369214</v>
      </c>
      <c r="J265">
        <v>271148</v>
      </c>
      <c r="K265">
        <v>84070</v>
      </c>
      <c r="L265">
        <v>51369</v>
      </c>
      <c r="M265">
        <v>57005</v>
      </c>
      <c r="N265">
        <v>121179</v>
      </c>
      <c r="O265">
        <v>42529</v>
      </c>
    </row>
    <row r="266" spans="1:15" x14ac:dyDescent="0.3">
      <c r="A266" t="s">
        <v>100</v>
      </c>
      <c r="B266" t="s">
        <v>101</v>
      </c>
      <c r="C266" t="s">
        <v>278</v>
      </c>
      <c r="D266">
        <v>3623636</v>
      </c>
      <c r="E266">
        <v>2505359</v>
      </c>
      <c r="F266">
        <v>1771478</v>
      </c>
      <c r="G266">
        <v>1195369</v>
      </c>
      <c r="H266">
        <v>942856</v>
      </c>
      <c r="I266">
        <v>778003</v>
      </c>
      <c r="J266">
        <v>668932</v>
      </c>
      <c r="K266">
        <v>576469</v>
      </c>
      <c r="L266">
        <v>487127</v>
      </c>
      <c r="M266">
        <v>408309</v>
      </c>
      <c r="N266">
        <v>321986</v>
      </c>
      <c r="O266">
        <v>242491</v>
      </c>
    </row>
    <row r="267" spans="1:15" x14ac:dyDescent="0.3">
      <c r="A267" t="s">
        <v>100</v>
      </c>
      <c r="B267" t="s">
        <v>101</v>
      </c>
      <c r="C267" t="s">
        <v>279</v>
      </c>
      <c r="D267">
        <v>2505359</v>
      </c>
      <c r="E267">
        <v>1771478</v>
      </c>
      <c r="F267">
        <v>1195369</v>
      </c>
      <c r="G267">
        <v>942856</v>
      </c>
      <c r="H267">
        <v>778003</v>
      </c>
      <c r="I267">
        <v>668932</v>
      </c>
      <c r="J267">
        <v>576469</v>
      </c>
      <c r="K267">
        <v>487127</v>
      </c>
      <c r="L267">
        <v>408309</v>
      </c>
      <c r="M267">
        <v>321986</v>
      </c>
      <c r="N267">
        <v>242491</v>
      </c>
      <c r="O267">
        <v>171961</v>
      </c>
    </row>
    <row r="268" spans="1:15" x14ac:dyDescent="0.3">
      <c r="A268" t="s">
        <v>100</v>
      </c>
      <c r="B268" t="s">
        <v>101</v>
      </c>
      <c r="C268" t="s">
        <v>273</v>
      </c>
      <c r="D268">
        <v>1118277</v>
      </c>
      <c r="E268">
        <v>733881</v>
      </c>
      <c r="F268">
        <v>576109</v>
      </c>
      <c r="G268">
        <v>252513</v>
      </c>
      <c r="H268">
        <v>164853</v>
      </c>
      <c r="I268">
        <v>109071</v>
      </c>
      <c r="J268">
        <v>92463</v>
      </c>
      <c r="K268">
        <v>89342</v>
      </c>
      <c r="L268">
        <v>78818</v>
      </c>
      <c r="M268">
        <v>86323</v>
      </c>
      <c r="N268">
        <v>79495</v>
      </c>
      <c r="O268">
        <v>70530</v>
      </c>
    </row>
    <row r="269" spans="1:15" hidden="1" x14ac:dyDescent="0.3">
      <c r="A269" t="s">
        <v>100</v>
      </c>
      <c r="B269" t="s">
        <v>101</v>
      </c>
      <c r="C269" t="s">
        <v>282</v>
      </c>
      <c r="D269">
        <v>556755</v>
      </c>
      <c r="E269">
        <v>525128</v>
      </c>
      <c r="F269">
        <v>466994</v>
      </c>
      <c r="G269">
        <v>346759</v>
      </c>
      <c r="H269">
        <v>492485</v>
      </c>
      <c r="I269">
        <v>396941</v>
      </c>
      <c r="J269">
        <v>275271</v>
      </c>
      <c r="K269">
        <v>203520</v>
      </c>
      <c r="L269">
        <v>0</v>
      </c>
      <c r="M269">
        <v>0</v>
      </c>
      <c r="N269">
        <v>0</v>
      </c>
      <c r="O269">
        <v>0</v>
      </c>
    </row>
    <row r="270" spans="1:15" x14ac:dyDescent="0.3">
      <c r="A270" t="s">
        <v>100</v>
      </c>
      <c r="B270" t="s">
        <v>101</v>
      </c>
      <c r="C270" t="s">
        <v>274</v>
      </c>
      <c r="D270">
        <v>7561174</v>
      </c>
      <c r="E270">
        <v>6514231</v>
      </c>
      <c r="F270">
        <v>4547852</v>
      </c>
      <c r="G270">
        <v>3265918</v>
      </c>
      <c r="H270">
        <v>1906692</v>
      </c>
      <c r="I270">
        <v>1296198</v>
      </c>
      <c r="J270">
        <v>1016803</v>
      </c>
      <c r="K270">
        <v>887850</v>
      </c>
      <c r="L270">
        <v>828990</v>
      </c>
      <c r="M270">
        <v>802879</v>
      </c>
      <c r="N270">
        <v>642073</v>
      </c>
      <c r="O270">
        <v>597067</v>
      </c>
    </row>
    <row r="271" spans="1:15" x14ac:dyDescent="0.3">
      <c r="A271" t="s">
        <v>100</v>
      </c>
      <c r="B271" t="s">
        <v>101</v>
      </c>
      <c r="C271" t="s">
        <v>275</v>
      </c>
      <c r="D271">
        <v>6514231</v>
      </c>
      <c r="E271">
        <v>4547852</v>
      </c>
      <c r="F271">
        <v>3265918</v>
      </c>
      <c r="G271">
        <v>1906692</v>
      </c>
      <c r="H271">
        <v>1296198</v>
      </c>
      <c r="I271">
        <v>1016803</v>
      </c>
      <c r="J271">
        <v>887850</v>
      </c>
      <c r="K271">
        <v>828990</v>
      </c>
      <c r="L271">
        <v>802879</v>
      </c>
      <c r="M271">
        <v>641837</v>
      </c>
      <c r="N271">
        <v>597067</v>
      </c>
      <c r="O271">
        <v>502955</v>
      </c>
    </row>
    <row r="272" spans="1:15" hidden="1" x14ac:dyDescent="0.3">
      <c r="A272" t="s">
        <v>100</v>
      </c>
      <c r="B272" t="s">
        <v>101</v>
      </c>
      <c r="C272" t="s">
        <v>277</v>
      </c>
      <c r="D272">
        <v>24297</v>
      </c>
      <c r="E272">
        <v>59278</v>
      </c>
      <c r="F272">
        <v>80</v>
      </c>
      <c r="G272">
        <v>12529</v>
      </c>
      <c r="H272">
        <v>160</v>
      </c>
      <c r="I272">
        <v>9546</v>
      </c>
      <c r="J272">
        <v>0</v>
      </c>
      <c r="K272">
        <v>339</v>
      </c>
      <c r="L272">
        <v>15297</v>
      </c>
      <c r="M272">
        <v>0</v>
      </c>
      <c r="N272">
        <v>3225</v>
      </c>
      <c r="O272">
        <v>3488</v>
      </c>
    </row>
    <row r="273" spans="1:15" x14ac:dyDescent="0.3">
      <c r="A273" t="s">
        <v>100</v>
      </c>
      <c r="B273" t="s">
        <v>101</v>
      </c>
      <c r="C273" t="s">
        <v>276</v>
      </c>
      <c r="D273">
        <v>1046943</v>
      </c>
      <c r="E273">
        <v>1966379</v>
      </c>
      <c r="F273">
        <v>1281934</v>
      </c>
      <c r="G273">
        <v>1359226</v>
      </c>
      <c r="H273">
        <v>610494</v>
      </c>
      <c r="I273">
        <v>279395</v>
      </c>
      <c r="J273">
        <v>128953</v>
      </c>
      <c r="K273">
        <v>58860</v>
      </c>
      <c r="L273">
        <v>26111</v>
      </c>
      <c r="M273">
        <v>161042</v>
      </c>
      <c r="N273">
        <v>45006</v>
      </c>
      <c r="O273">
        <v>94112</v>
      </c>
    </row>
    <row r="274" spans="1:15" x14ac:dyDescent="0.3">
      <c r="A274" t="s">
        <v>100</v>
      </c>
      <c r="B274" t="s">
        <v>101</v>
      </c>
      <c r="C274" t="s">
        <v>281</v>
      </c>
      <c r="D274">
        <v>3937538</v>
      </c>
      <c r="E274">
        <v>4008872</v>
      </c>
      <c r="F274">
        <v>2776374</v>
      </c>
      <c r="G274">
        <v>2070549</v>
      </c>
      <c r="H274">
        <v>963836</v>
      </c>
      <c r="I274">
        <v>518195</v>
      </c>
      <c r="J274">
        <v>347871</v>
      </c>
      <c r="K274">
        <v>311381</v>
      </c>
      <c r="L274">
        <v>341863</v>
      </c>
      <c r="M274">
        <v>394570</v>
      </c>
      <c r="N274">
        <v>320087</v>
      </c>
      <c r="O274">
        <v>354576</v>
      </c>
    </row>
    <row r="275" spans="1:15" x14ac:dyDescent="0.3">
      <c r="A275" t="s">
        <v>100</v>
      </c>
      <c r="B275" t="s">
        <v>101</v>
      </c>
      <c r="C275" t="s">
        <v>280</v>
      </c>
      <c r="D275">
        <v>4008872</v>
      </c>
      <c r="E275">
        <v>2776374</v>
      </c>
      <c r="F275">
        <v>2070549</v>
      </c>
      <c r="G275">
        <v>963836</v>
      </c>
      <c r="H275">
        <v>518195</v>
      </c>
      <c r="I275">
        <v>347871</v>
      </c>
      <c r="J275">
        <v>311381</v>
      </c>
      <c r="K275">
        <v>341863</v>
      </c>
      <c r="L275">
        <v>394570</v>
      </c>
      <c r="M275">
        <v>319851</v>
      </c>
      <c r="N275">
        <v>354576</v>
      </c>
      <c r="O275">
        <v>330994</v>
      </c>
    </row>
    <row r="276" spans="1:15" x14ac:dyDescent="0.3">
      <c r="A276" t="s">
        <v>100</v>
      </c>
      <c r="B276" t="s">
        <v>101</v>
      </c>
      <c r="C276" t="s">
        <v>284</v>
      </c>
      <c r="D276">
        <v>492570</v>
      </c>
      <c r="E276">
        <v>947097</v>
      </c>
      <c r="F276">
        <v>279105</v>
      </c>
      <c r="G276">
        <v>764278</v>
      </c>
      <c r="H276">
        <v>372409</v>
      </c>
      <c r="I276">
        <v>75341</v>
      </c>
      <c r="J276">
        <v>15476</v>
      </c>
      <c r="K276">
        <v>7888</v>
      </c>
      <c r="L276">
        <v>0</v>
      </c>
      <c r="M276">
        <v>0</v>
      </c>
      <c r="N276">
        <v>0</v>
      </c>
      <c r="O276">
        <v>0</v>
      </c>
    </row>
    <row r="277" spans="1:15" x14ac:dyDescent="0.3">
      <c r="A277" t="s">
        <v>102</v>
      </c>
      <c r="B277" t="s">
        <v>103</v>
      </c>
      <c r="C277" t="s">
        <v>278</v>
      </c>
      <c r="D277">
        <v>740023</v>
      </c>
      <c r="E277">
        <v>662572</v>
      </c>
      <c r="F277">
        <v>556979</v>
      </c>
      <c r="G277">
        <v>448838</v>
      </c>
      <c r="H277">
        <v>344553</v>
      </c>
      <c r="I277">
        <v>250692</v>
      </c>
      <c r="J277">
        <v>168866</v>
      </c>
      <c r="K277">
        <v>115308</v>
      </c>
      <c r="L277">
        <v>86828</v>
      </c>
      <c r="M277">
        <v>59959</v>
      </c>
      <c r="N277">
        <v>47373</v>
      </c>
      <c r="O277">
        <v>1</v>
      </c>
    </row>
    <row r="278" spans="1:15" x14ac:dyDescent="0.3">
      <c r="A278" t="s">
        <v>102</v>
      </c>
      <c r="B278" t="s">
        <v>103</v>
      </c>
      <c r="C278" t="s">
        <v>279</v>
      </c>
      <c r="D278">
        <v>662572</v>
      </c>
      <c r="E278">
        <v>556979</v>
      </c>
      <c r="F278">
        <v>448838</v>
      </c>
      <c r="G278">
        <v>344553</v>
      </c>
      <c r="H278">
        <v>250692</v>
      </c>
      <c r="I278">
        <v>168866</v>
      </c>
      <c r="J278">
        <v>115308</v>
      </c>
      <c r="K278">
        <v>86828</v>
      </c>
      <c r="L278">
        <v>59959</v>
      </c>
      <c r="M278">
        <v>47373</v>
      </c>
      <c r="N278">
        <v>39742</v>
      </c>
      <c r="O278">
        <v>1</v>
      </c>
    </row>
    <row r="279" spans="1:15" x14ac:dyDescent="0.3">
      <c r="A279" t="s">
        <v>102</v>
      </c>
      <c r="B279" t="s">
        <v>103</v>
      </c>
      <c r="C279" t="s">
        <v>273</v>
      </c>
      <c r="D279">
        <v>77451</v>
      </c>
      <c r="E279">
        <v>105593</v>
      </c>
      <c r="F279">
        <v>108141</v>
      </c>
      <c r="G279">
        <v>104285</v>
      </c>
      <c r="H279">
        <v>93861</v>
      </c>
      <c r="I279">
        <v>81826</v>
      </c>
      <c r="J279">
        <v>53558</v>
      </c>
      <c r="K279">
        <v>28480</v>
      </c>
      <c r="L279">
        <v>26869</v>
      </c>
      <c r="M279">
        <v>12586</v>
      </c>
      <c r="N279">
        <v>7631</v>
      </c>
      <c r="O279">
        <v>1</v>
      </c>
    </row>
    <row r="280" spans="1:15" hidden="1" x14ac:dyDescent="0.3">
      <c r="A280" t="s">
        <v>102</v>
      </c>
      <c r="B280" t="s">
        <v>103</v>
      </c>
      <c r="C280" t="s">
        <v>282</v>
      </c>
      <c r="D280">
        <v>446770</v>
      </c>
      <c r="E280">
        <v>428923</v>
      </c>
      <c r="F280">
        <v>286029</v>
      </c>
      <c r="G280">
        <v>0</v>
      </c>
      <c r="H280">
        <v>0</v>
      </c>
      <c r="I280">
        <v>101024</v>
      </c>
      <c r="J280">
        <v>70168</v>
      </c>
      <c r="K280">
        <v>47983</v>
      </c>
      <c r="L280">
        <v>0</v>
      </c>
      <c r="M280">
        <v>34022</v>
      </c>
      <c r="N280">
        <v>32979</v>
      </c>
      <c r="O280">
        <v>1</v>
      </c>
    </row>
    <row r="281" spans="1:15" x14ac:dyDescent="0.3">
      <c r="A281" t="s">
        <v>102</v>
      </c>
      <c r="B281" t="s">
        <v>103</v>
      </c>
      <c r="C281" t="s">
        <v>274</v>
      </c>
      <c r="D281">
        <v>1203852</v>
      </c>
      <c r="E281">
        <v>1027747</v>
      </c>
      <c r="F281">
        <v>886455</v>
      </c>
      <c r="G281">
        <v>750811</v>
      </c>
      <c r="H281">
        <v>620296</v>
      </c>
      <c r="I281">
        <v>483915</v>
      </c>
      <c r="J281">
        <v>370895</v>
      </c>
      <c r="K281">
        <v>212497</v>
      </c>
      <c r="L281">
        <v>162708</v>
      </c>
      <c r="M281">
        <v>103947</v>
      </c>
      <c r="N281">
        <v>81705</v>
      </c>
      <c r="O281">
        <v>1</v>
      </c>
    </row>
    <row r="282" spans="1:15" x14ac:dyDescent="0.3">
      <c r="A282" t="s">
        <v>102</v>
      </c>
      <c r="B282" t="s">
        <v>103</v>
      </c>
      <c r="C282" t="s">
        <v>275</v>
      </c>
      <c r="D282">
        <v>1027747</v>
      </c>
      <c r="E282">
        <v>886455</v>
      </c>
      <c r="F282">
        <v>750811</v>
      </c>
      <c r="G282">
        <v>620296</v>
      </c>
      <c r="H282">
        <v>483915</v>
      </c>
      <c r="I282">
        <v>370895</v>
      </c>
      <c r="J282">
        <v>212497</v>
      </c>
      <c r="K282">
        <v>162708</v>
      </c>
      <c r="L282">
        <v>103947</v>
      </c>
      <c r="M282">
        <v>81705</v>
      </c>
      <c r="N282">
        <v>59378</v>
      </c>
      <c r="O282">
        <v>1</v>
      </c>
    </row>
    <row r="283" spans="1:15" hidden="1" x14ac:dyDescent="0.3">
      <c r="A283" t="s">
        <v>102</v>
      </c>
      <c r="B283" t="s">
        <v>103</v>
      </c>
      <c r="C283" t="s">
        <v>277</v>
      </c>
      <c r="D283">
        <v>61081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1</v>
      </c>
    </row>
    <row r="284" spans="1:15" x14ac:dyDescent="0.3">
      <c r="A284" t="s">
        <v>102</v>
      </c>
      <c r="B284" t="s">
        <v>103</v>
      </c>
      <c r="C284" t="s">
        <v>276</v>
      </c>
      <c r="D284">
        <v>176105</v>
      </c>
      <c r="E284">
        <v>141292</v>
      </c>
      <c r="F284">
        <v>135644</v>
      </c>
      <c r="G284">
        <v>130515</v>
      </c>
      <c r="H284">
        <v>136381</v>
      </c>
      <c r="I284">
        <v>113020</v>
      </c>
      <c r="J284">
        <v>158398</v>
      </c>
      <c r="K284">
        <v>49789</v>
      </c>
      <c r="L284">
        <v>58761</v>
      </c>
      <c r="M284">
        <v>22242</v>
      </c>
      <c r="N284">
        <v>22327</v>
      </c>
      <c r="O284">
        <v>1</v>
      </c>
    </row>
    <row r="285" spans="1:15" x14ac:dyDescent="0.3">
      <c r="A285" t="s">
        <v>102</v>
      </c>
      <c r="B285" t="s">
        <v>103</v>
      </c>
      <c r="C285" t="s">
        <v>281</v>
      </c>
      <c r="D285">
        <v>463829</v>
      </c>
      <c r="E285">
        <v>365175</v>
      </c>
      <c r="F285">
        <v>329476</v>
      </c>
      <c r="G285">
        <v>301973</v>
      </c>
      <c r="H285">
        <v>275743</v>
      </c>
      <c r="I285">
        <v>233223</v>
      </c>
      <c r="J285">
        <v>202029</v>
      </c>
      <c r="K285">
        <v>97189</v>
      </c>
      <c r="L285">
        <v>75880</v>
      </c>
      <c r="M285">
        <v>43988</v>
      </c>
      <c r="N285">
        <v>34332</v>
      </c>
      <c r="O285">
        <v>1</v>
      </c>
    </row>
    <row r="286" spans="1:15" x14ac:dyDescent="0.3">
      <c r="A286" t="s">
        <v>102</v>
      </c>
      <c r="B286" t="s">
        <v>103</v>
      </c>
      <c r="C286" t="s">
        <v>280</v>
      </c>
      <c r="D286">
        <v>365175</v>
      </c>
      <c r="E286">
        <v>329476</v>
      </c>
      <c r="F286">
        <v>301973</v>
      </c>
      <c r="G286">
        <v>275743</v>
      </c>
      <c r="H286">
        <v>233223</v>
      </c>
      <c r="I286">
        <v>202029</v>
      </c>
      <c r="J286">
        <v>97189</v>
      </c>
      <c r="K286">
        <v>75880</v>
      </c>
      <c r="L286">
        <v>43988</v>
      </c>
      <c r="M286">
        <v>34332</v>
      </c>
      <c r="N286">
        <v>19636</v>
      </c>
      <c r="O286">
        <v>1</v>
      </c>
    </row>
    <row r="287" spans="1:15" x14ac:dyDescent="0.3">
      <c r="A287" t="s">
        <v>102</v>
      </c>
      <c r="B287" t="s">
        <v>103</v>
      </c>
      <c r="C287" t="s">
        <v>284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1</v>
      </c>
    </row>
    <row r="288" spans="1:15" x14ac:dyDescent="0.3">
      <c r="A288" t="s">
        <v>75</v>
      </c>
      <c r="B288" t="s">
        <v>76</v>
      </c>
      <c r="C288" t="s">
        <v>278</v>
      </c>
      <c r="D288">
        <v>110213</v>
      </c>
      <c r="E288">
        <v>97271</v>
      </c>
      <c r="F288">
        <v>83891</v>
      </c>
      <c r="G288">
        <v>109520</v>
      </c>
      <c r="H288">
        <v>100118</v>
      </c>
      <c r="I288">
        <v>95457</v>
      </c>
      <c r="J288">
        <v>1</v>
      </c>
      <c r="K288">
        <v>92305</v>
      </c>
      <c r="L288">
        <v>86735</v>
      </c>
      <c r="M288">
        <v>80525</v>
      </c>
      <c r="N288">
        <v>74462</v>
      </c>
      <c r="O288">
        <v>67627</v>
      </c>
    </row>
    <row r="289" spans="1:15" x14ac:dyDescent="0.3">
      <c r="A289" t="s">
        <v>75</v>
      </c>
      <c r="B289" t="s">
        <v>76</v>
      </c>
      <c r="C289" t="s">
        <v>279</v>
      </c>
      <c r="D289">
        <v>97271</v>
      </c>
      <c r="E289">
        <v>83891</v>
      </c>
      <c r="F289">
        <v>109520</v>
      </c>
      <c r="G289">
        <v>100118</v>
      </c>
      <c r="H289">
        <v>95457</v>
      </c>
      <c r="I289">
        <v>94553</v>
      </c>
      <c r="J289">
        <v>1</v>
      </c>
      <c r="K289">
        <v>86735</v>
      </c>
      <c r="L289">
        <v>80525</v>
      </c>
      <c r="M289">
        <v>74462</v>
      </c>
      <c r="N289">
        <v>67627</v>
      </c>
      <c r="O289">
        <v>54924</v>
      </c>
    </row>
    <row r="290" spans="1:15" x14ac:dyDescent="0.3">
      <c r="A290" t="s">
        <v>75</v>
      </c>
      <c r="B290" t="s">
        <v>76</v>
      </c>
      <c r="C290" t="s">
        <v>273</v>
      </c>
      <c r="D290">
        <v>12943</v>
      </c>
      <c r="E290">
        <v>13379</v>
      </c>
      <c r="F290">
        <v>-25629</v>
      </c>
      <c r="G290">
        <v>9402</v>
      </c>
      <c r="H290">
        <v>4662</v>
      </c>
      <c r="I290">
        <v>904</v>
      </c>
      <c r="J290">
        <v>1</v>
      </c>
      <c r="K290">
        <v>5569</v>
      </c>
      <c r="L290">
        <v>6210</v>
      </c>
      <c r="M290">
        <v>6064</v>
      </c>
      <c r="N290">
        <v>6834</v>
      </c>
      <c r="O290">
        <v>12703</v>
      </c>
    </row>
    <row r="291" spans="1:15" hidden="1" x14ac:dyDescent="0.3">
      <c r="A291" t="s">
        <v>75</v>
      </c>
      <c r="B291" t="s">
        <v>76</v>
      </c>
      <c r="C291" t="s">
        <v>282</v>
      </c>
      <c r="D291">
        <v>94439</v>
      </c>
      <c r="E291">
        <v>79407</v>
      </c>
      <c r="F291">
        <v>78840</v>
      </c>
      <c r="G291">
        <v>101982</v>
      </c>
      <c r="H291">
        <v>97585</v>
      </c>
      <c r="I291">
        <v>97145</v>
      </c>
      <c r="J291">
        <v>1</v>
      </c>
      <c r="K291">
        <v>0</v>
      </c>
      <c r="L291">
        <v>0</v>
      </c>
      <c r="M291">
        <v>0</v>
      </c>
      <c r="N291">
        <v>0</v>
      </c>
      <c r="O291">
        <v>0</v>
      </c>
    </row>
    <row r="292" spans="1:15" x14ac:dyDescent="0.3">
      <c r="A292" t="s">
        <v>75</v>
      </c>
      <c r="B292" t="s">
        <v>76</v>
      </c>
      <c r="C292" t="s">
        <v>274</v>
      </c>
      <c r="D292">
        <v>136826</v>
      </c>
      <c r="E292">
        <v>134150</v>
      </c>
      <c r="F292">
        <v>131216</v>
      </c>
      <c r="G292">
        <v>128623</v>
      </c>
      <c r="H292">
        <v>114495</v>
      </c>
      <c r="I292">
        <v>113053</v>
      </c>
      <c r="J292">
        <v>1</v>
      </c>
      <c r="K292">
        <v>94584</v>
      </c>
      <c r="L292">
        <v>94584</v>
      </c>
      <c r="M292">
        <v>94525</v>
      </c>
      <c r="N292">
        <v>94525</v>
      </c>
      <c r="O292">
        <v>73280</v>
      </c>
    </row>
    <row r="293" spans="1:15" x14ac:dyDescent="0.3">
      <c r="A293" t="s">
        <v>75</v>
      </c>
      <c r="B293" t="s">
        <v>76</v>
      </c>
      <c r="C293" t="s">
        <v>275</v>
      </c>
      <c r="D293">
        <v>134150</v>
      </c>
      <c r="E293">
        <v>131216</v>
      </c>
      <c r="F293">
        <v>128623</v>
      </c>
      <c r="G293">
        <v>114495</v>
      </c>
      <c r="H293">
        <v>113053</v>
      </c>
      <c r="I293">
        <v>98184</v>
      </c>
      <c r="J293">
        <v>1</v>
      </c>
      <c r="K293">
        <v>94584</v>
      </c>
      <c r="L293">
        <v>94525</v>
      </c>
      <c r="M293">
        <v>94525</v>
      </c>
      <c r="N293">
        <v>73280</v>
      </c>
      <c r="O293">
        <v>73280</v>
      </c>
    </row>
    <row r="294" spans="1:15" hidden="1" x14ac:dyDescent="0.3">
      <c r="A294" t="s">
        <v>75</v>
      </c>
      <c r="B294" t="s">
        <v>76</v>
      </c>
      <c r="C294" t="s">
        <v>277</v>
      </c>
      <c r="D294">
        <v>0</v>
      </c>
      <c r="E294">
        <v>0</v>
      </c>
      <c r="F294">
        <v>35356</v>
      </c>
      <c r="G294">
        <v>0</v>
      </c>
      <c r="H294">
        <v>0</v>
      </c>
      <c r="I294">
        <v>4065</v>
      </c>
      <c r="J294">
        <v>1</v>
      </c>
      <c r="K294">
        <v>0</v>
      </c>
      <c r="L294">
        <v>0</v>
      </c>
      <c r="M294">
        <v>0</v>
      </c>
      <c r="N294">
        <v>182</v>
      </c>
      <c r="O294">
        <v>0</v>
      </c>
    </row>
    <row r="295" spans="1:15" x14ac:dyDescent="0.3">
      <c r="A295" t="s">
        <v>75</v>
      </c>
      <c r="B295" t="s">
        <v>76</v>
      </c>
      <c r="C295" t="s">
        <v>276</v>
      </c>
      <c r="D295">
        <v>2676</v>
      </c>
      <c r="E295">
        <v>2934</v>
      </c>
      <c r="F295">
        <v>2592</v>
      </c>
      <c r="G295">
        <v>14129</v>
      </c>
      <c r="H295">
        <v>1442</v>
      </c>
      <c r="I295">
        <v>14869</v>
      </c>
      <c r="J295">
        <v>1</v>
      </c>
      <c r="K295">
        <v>0</v>
      </c>
      <c r="L295">
        <v>59</v>
      </c>
      <c r="M295">
        <v>0</v>
      </c>
      <c r="N295">
        <v>21245</v>
      </c>
      <c r="O295">
        <v>0</v>
      </c>
    </row>
    <row r="296" spans="1:15" x14ac:dyDescent="0.3">
      <c r="A296" t="s">
        <v>75</v>
      </c>
      <c r="B296" t="s">
        <v>76</v>
      </c>
      <c r="C296" t="s">
        <v>281</v>
      </c>
      <c r="D296">
        <v>26612</v>
      </c>
      <c r="E296">
        <v>36880</v>
      </c>
      <c r="F296">
        <v>47324</v>
      </c>
      <c r="G296">
        <v>19103</v>
      </c>
      <c r="H296">
        <v>14376</v>
      </c>
      <c r="I296">
        <v>17596</v>
      </c>
      <c r="J296">
        <v>1</v>
      </c>
      <c r="K296">
        <v>2280</v>
      </c>
      <c r="L296">
        <v>7849</v>
      </c>
      <c r="M296">
        <v>14000</v>
      </c>
      <c r="N296">
        <v>20064</v>
      </c>
      <c r="O296">
        <v>5653</v>
      </c>
    </row>
    <row r="297" spans="1:15" x14ac:dyDescent="0.3">
      <c r="A297" t="s">
        <v>75</v>
      </c>
      <c r="B297" t="s">
        <v>76</v>
      </c>
      <c r="C297" t="s">
        <v>280</v>
      </c>
      <c r="D297">
        <v>36880</v>
      </c>
      <c r="E297">
        <v>47324</v>
      </c>
      <c r="F297">
        <v>19103</v>
      </c>
      <c r="G297">
        <v>14376</v>
      </c>
      <c r="H297">
        <v>17596</v>
      </c>
      <c r="I297">
        <v>3632</v>
      </c>
      <c r="J297">
        <v>1</v>
      </c>
      <c r="K297">
        <v>7849</v>
      </c>
      <c r="L297">
        <v>14000</v>
      </c>
      <c r="M297">
        <v>20064</v>
      </c>
      <c r="N297">
        <v>5653</v>
      </c>
      <c r="O297">
        <v>18356</v>
      </c>
    </row>
    <row r="298" spans="1:15" x14ac:dyDescent="0.3">
      <c r="A298" t="s">
        <v>75</v>
      </c>
      <c r="B298" t="s">
        <v>76</v>
      </c>
      <c r="C298" t="s">
        <v>284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1</v>
      </c>
      <c r="K298">
        <v>0</v>
      </c>
      <c r="L298">
        <v>0</v>
      </c>
      <c r="M298">
        <v>0</v>
      </c>
      <c r="N298">
        <v>0</v>
      </c>
      <c r="O298">
        <v>0</v>
      </c>
    </row>
    <row r="299" spans="1:15" x14ac:dyDescent="0.3">
      <c r="A299" t="s">
        <v>108</v>
      </c>
      <c r="B299" t="s">
        <v>109</v>
      </c>
      <c r="C299" t="s">
        <v>278</v>
      </c>
      <c r="D299">
        <v>2486764</v>
      </c>
      <c r="E299">
        <v>2294980</v>
      </c>
      <c r="F299">
        <v>2127866</v>
      </c>
      <c r="G299">
        <v>1807564</v>
      </c>
      <c r="H299">
        <v>1397831</v>
      </c>
      <c r="I299">
        <v>952551</v>
      </c>
      <c r="J299">
        <v>675614</v>
      </c>
      <c r="K299">
        <v>546672</v>
      </c>
      <c r="L299">
        <v>506182</v>
      </c>
      <c r="M299">
        <v>477061</v>
      </c>
      <c r="N299">
        <v>452472</v>
      </c>
      <c r="O299">
        <v>408122</v>
      </c>
    </row>
    <row r="300" spans="1:15" x14ac:dyDescent="0.3">
      <c r="A300" t="s">
        <v>108</v>
      </c>
      <c r="B300" t="s">
        <v>109</v>
      </c>
      <c r="C300" t="s">
        <v>279</v>
      </c>
      <c r="D300">
        <v>2294980</v>
      </c>
      <c r="E300">
        <v>2127866</v>
      </c>
      <c r="F300">
        <v>1807564</v>
      </c>
      <c r="G300">
        <v>1397831</v>
      </c>
      <c r="H300">
        <v>952551</v>
      </c>
      <c r="I300">
        <v>675614</v>
      </c>
      <c r="J300">
        <v>546672</v>
      </c>
      <c r="K300">
        <v>506182</v>
      </c>
      <c r="L300">
        <v>477060</v>
      </c>
      <c r="M300">
        <v>452472</v>
      </c>
      <c r="N300">
        <v>408122</v>
      </c>
      <c r="O300">
        <v>330205</v>
      </c>
    </row>
    <row r="301" spans="1:15" x14ac:dyDescent="0.3">
      <c r="A301" t="s">
        <v>108</v>
      </c>
      <c r="B301" t="s">
        <v>109</v>
      </c>
      <c r="C301" t="s">
        <v>273</v>
      </c>
      <c r="D301">
        <v>191784</v>
      </c>
      <c r="E301">
        <v>167114</v>
      </c>
      <c r="F301">
        <v>320302</v>
      </c>
      <c r="G301">
        <v>409733</v>
      </c>
      <c r="H301">
        <v>445280</v>
      </c>
      <c r="I301">
        <v>276937</v>
      </c>
      <c r="J301">
        <v>128942</v>
      </c>
      <c r="K301">
        <v>40490</v>
      </c>
      <c r="L301">
        <v>29122</v>
      </c>
      <c r="M301">
        <v>24589</v>
      </c>
      <c r="N301">
        <v>44350</v>
      </c>
      <c r="O301">
        <v>77917</v>
      </c>
    </row>
    <row r="302" spans="1:15" hidden="1" x14ac:dyDescent="0.3">
      <c r="A302" t="s">
        <v>108</v>
      </c>
      <c r="B302" t="s">
        <v>109</v>
      </c>
      <c r="C302" t="s">
        <v>282</v>
      </c>
      <c r="D302">
        <v>0</v>
      </c>
      <c r="E302">
        <v>1729254</v>
      </c>
      <c r="F302">
        <v>1746545</v>
      </c>
      <c r="G302">
        <v>1041279</v>
      </c>
      <c r="H302">
        <v>724061</v>
      </c>
      <c r="I302">
        <v>670960</v>
      </c>
      <c r="J302">
        <v>632470</v>
      </c>
      <c r="K302">
        <v>562477</v>
      </c>
      <c r="L302">
        <v>539560</v>
      </c>
      <c r="M302">
        <v>0</v>
      </c>
      <c r="N302">
        <v>0</v>
      </c>
      <c r="O302">
        <v>0</v>
      </c>
    </row>
    <row r="303" spans="1:15" x14ac:dyDescent="0.3">
      <c r="A303" t="s">
        <v>108</v>
      </c>
      <c r="B303" t="s">
        <v>109</v>
      </c>
      <c r="C303" t="s">
        <v>274</v>
      </c>
      <c r="D303">
        <v>2754936</v>
      </c>
      <c r="E303">
        <v>2479388</v>
      </c>
      <c r="F303">
        <v>2323910</v>
      </c>
      <c r="G303">
        <v>2232088</v>
      </c>
      <c r="H303">
        <v>2070943</v>
      </c>
      <c r="I303">
        <v>1664031</v>
      </c>
      <c r="J303">
        <v>827249</v>
      </c>
      <c r="K303">
        <v>602318</v>
      </c>
      <c r="L303">
        <v>590462</v>
      </c>
      <c r="M303">
        <v>541970</v>
      </c>
      <c r="N303">
        <v>477772</v>
      </c>
      <c r="O303">
        <v>475173</v>
      </c>
    </row>
    <row r="304" spans="1:15" x14ac:dyDescent="0.3">
      <c r="A304" t="s">
        <v>108</v>
      </c>
      <c r="B304" t="s">
        <v>109</v>
      </c>
      <c r="C304" t="s">
        <v>275</v>
      </c>
      <c r="D304">
        <v>2479388</v>
      </c>
      <c r="E304">
        <v>2323910</v>
      </c>
      <c r="F304">
        <v>2232088</v>
      </c>
      <c r="G304">
        <v>2070943</v>
      </c>
      <c r="H304">
        <v>1664031</v>
      </c>
      <c r="I304">
        <v>827249</v>
      </c>
      <c r="J304">
        <v>602318</v>
      </c>
      <c r="K304">
        <v>590462</v>
      </c>
      <c r="L304">
        <v>541970</v>
      </c>
      <c r="M304">
        <v>477772</v>
      </c>
      <c r="N304">
        <v>475173</v>
      </c>
      <c r="O304">
        <v>454538</v>
      </c>
    </row>
    <row r="305" spans="1:15" hidden="1" x14ac:dyDescent="0.3">
      <c r="A305" t="s">
        <v>108</v>
      </c>
      <c r="B305" t="s">
        <v>109</v>
      </c>
      <c r="C305" t="s">
        <v>277</v>
      </c>
      <c r="D305">
        <v>18032</v>
      </c>
      <c r="E305">
        <v>107</v>
      </c>
      <c r="F305">
        <v>0</v>
      </c>
      <c r="G305">
        <v>0</v>
      </c>
      <c r="H305">
        <v>664</v>
      </c>
      <c r="I305">
        <v>0</v>
      </c>
      <c r="J305">
        <v>1424</v>
      </c>
      <c r="K305">
        <v>0</v>
      </c>
      <c r="L305">
        <v>0</v>
      </c>
      <c r="M305">
        <v>0</v>
      </c>
      <c r="N305">
        <v>0</v>
      </c>
      <c r="O305">
        <v>0</v>
      </c>
    </row>
    <row r="306" spans="1:15" x14ac:dyDescent="0.3">
      <c r="A306" t="s">
        <v>108</v>
      </c>
      <c r="B306" t="s">
        <v>109</v>
      </c>
      <c r="C306" t="s">
        <v>276</v>
      </c>
      <c r="D306">
        <v>275548</v>
      </c>
      <c r="E306">
        <v>155478</v>
      </c>
      <c r="F306">
        <v>91822</v>
      </c>
      <c r="G306">
        <v>161145</v>
      </c>
      <c r="H306">
        <v>406912</v>
      </c>
      <c r="I306">
        <v>836782</v>
      </c>
      <c r="J306">
        <v>224931</v>
      </c>
      <c r="K306">
        <v>11856</v>
      </c>
      <c r="L306">
        <v>48492</v>
      </c>
      <c r="M306">
        <v>64198</v>
      </c>
      <c r="N306">
        <v>2599</v>
      </c>
      <c r="O306">
        <v>20635</v>
      </c>
    </row>
    <row r="307" spans="1:15" x14ac:dyDescent="0.3">
      <c r="A307" t="s">
        <v>108</v>
      </c>
      <c r="B307" t="s">
        <v>109</v>
      </c>
      <c r="C307" t="s">
        <v>281</v>
      </c>
      <c r="D307">
        <v>268172</v>
      </c>
      <c r="E307">
        <v>184408</v>
      </c>
      <c r="F307">
        <v>196044</v>
      </c>
      <c r="G307">
        <v>424524</v>
      </c>
      <c r="H307">
        <v>673112</v>
      </c>
      <c r="I307">
        <v>711480</v>
      </c>
      <c r="J307">
        <v>151635</v>
      </c>
      <c r="K307">
        <v>55646</v>
      </c>
      <c r="L307">
        <v>84280</v>
      </c>
      <c r="M307">
        <v>64909</v>
      </c>
      <c r="N307">
        <v>25300</v>
      </c>
      <c r="O307">
        <v>67051</v>
      </c>
    </row>
    <row r="308" spans="1:15" x14ac:dyDescent="0.3">
      <c r="A308" t="s">
        <v>108</v>
      </c>
      <c r="B308" t="s">
        <v>109</v>
      </c>
      <c r="C308" t="s">
        <v>280</v>
      </c>
      <c r="D308">
        <v>184408</v>
      </c>
      <c r="E308">
        <v>196044</v>
      </c>
      <c r="F308">
        <v>424524</v>
      </c>
      <c r="G308">
        <v>673112</v>
      </c>
      <c r="H308">
        <v>711480</v>
      </c>
      <c r="I308">
        <v>151635</v>
      </c>
      <c r="J308">
        <v>55646</v>
      </c>
      <c r="K308">
        <v>84280</v>
      </c>
      <c r="L308">
        <v>64910</v>
      </c>
      <c r="M308">
        <v>25300</v>
      </c>
      <c r="N308">
        <v>67051</v>
      </c>
      <c r="O308">
        <v>124333</v>
      </c>
    </row>
    <row r="309" spans="1:15" x14ac:dyDescent="0.3">
      <c r="A309" t="s">
        <v>108</v>
      </c>
      <c r="B309" t="s">
        <v>109</v>
      </c>
      <c r="C309" t="s">
        <v>284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</row>
    <row r="310" spans="1:15" x14ac:dyDescent="0.3">
      <c r="A310" t="s">
        <v>104</v>
      </c>
      <c r="B310" t="s">
        <v>105</v>
      </c>
      <c r="C310" t="s">
        <v>278</v>
      </c>
      <c r="D310">
        <v>538313</v>
      </c>
      <c r="E310">
        <v>467722</v>
      </c>
      <c r="F310">
        <v>398151</v>
      </c>
      <c r="G310">
        <v>334161</v>
      </c>
      <c r="H310">
        <v>273937</v>
      </c>
      <c r="I310">
        <v>227616</v>
      </c>
      <c r="J310">
        <v>195221</v>
      </c>
      <c r="K310">
        <v>163668</v>
      </c>
      <c r="L310">
        <v>129075</v>
      </c>
      <c r="M310">
        <v>172381</v>
      </c>
      <c r="N310">
        <v>148636</v>
      </c>
      <c r="O310">
        <v>130698</v>
      </c>
    </row>
    <row r="311" spans="1:15" x14ac:dyDescent="0.3">
      <c r="A311" t="s">
        <v>104</v>
      </c>
      <c r="B311" t="s">
        <v>105</v>
      </c>
      <c r="C311" t="s">
        <v>279</v>
      </c>
      <c r="D311">
        <v>467722</v>
      </c>
      <c r="E311">
        <v>398151</v>
      </c>
      <c r="F311">
        <v>334161</v>
      </c>
      <c r="G311">
        <v>273937</v>
      </c>
      <c r="H311">
        <v>227616</v>
      </c>
      <c r="I311">
        <v>195221</v>
      </c>
      <c r="J311">
        <v>163668</v>
      </c>
      <c r="K311">
        <v>129075</v>
      </c>
      <c r="L311">
        <v>172381</v>
      </c>
      <c r="M311">
        <v>148636</v>
      </c>
      <c r="N311">
        <v>130698</v>
      </c>
      <c r="O311">
        <v>111319</v>
      </c>
    </row>
    <row r="312" spans="1:15" x14ac:dyDescent="0.3">
      <c r="A312" t="s">
        <v>104</v>
      </c>
      <c r="B312" t="s">
        <v>105</v>
      </c>
      <c r="C312" t="s">
        <v>273</v>
      </c>
      <c r="D312">
        <v>70591</v>
      </c>
      <c r="E312">
        <v>69571</v>
      </c>
      <c r="F312">
        <v>63990</v>
      </c>
      <c r="G312">
        <v>60224</v>
      </c>
      <c r="H312">
        <v>46321</v>
      </c>
      <c r="I312">
        <v>32395</v>
      </c>
      <c r="J312">
        <v>31553</v>
      </c>
      <c r="K312">
        <v>34593</v>
      </c>
      <c r="L312">
        <v>-43306</v>
      </c>
      <c r="M312">
        <v>23745</v>
      </c>
      <c r="N312">
        <v>17938</v>
      </c>
      <c r="O312">
        <v>19379</v>
      </c>
    </row>
    <row r="313" spans="1:15" hidden="1" x14ac:dyDescent="0.3">
      <c r="A313" t="s">
        <v>104</v>
      </c>
      <c r="B313" t="s">
        <v>105</v>
      </c>
      <c r="C313" t="s">
        <v>282</v>
      </c>
      <c r="D313">
        <v>297661</v>
      </c>
      <c r="E313">
        <v>244652</v>
      </c>
      <c r="F313">
        <v>0</v>
      </c>
      <c r="G313">
        <v>148065</v>
      </c>
      <c r="H313">
        <v>131616</v>
      </c>
      <c r="I313">
        <v>105578</v>
      </c>
      <c r="J313">
        <v>92917</v>
      </c>
      <c r="K313">
        <v>0</v>
      </c>
      <c r="L313">
        <v>0</v>
      </c>
      <c r="M313">
        <v>0</v>
      </c>
      <c r="N313">
        <v>0</v>
      </c>
      <c r="O313">
        <v>0</v>
      </c>
    </row>
    <row r="314" spans="1:15" x14ac:dyDescent="0.3">
      <c r="A314" t="s">
        <v>104</v>
      </c>
      <c r="B314" t="s">
        <v>105</v>
      </c>
      <c r="C314" t="s">
        <v>274</v>
      </c>
      <c r="D314">
        <v>836257</v>
      </c>
      <c r="E314">
        <v>769785</v>
      </c>
      <c r="F314">
        <v>687609</v>
      </c>
      <c r="G314">
        <v>626078</v>
      </c>
      <c r="H314">
        <v>576025</v>
      </c>
      <c r="I314">
        <v>363123</v>
      </c>
      <c r="J314">
        <v>330456</v>
      </c>
      <c r="K314">
        <v>314645</v>
      </c>
      <c r="L314">
        <v>277425</v>
      </c>
      <c r="M314">
        <v>298578</v>
      </c>
      <c r="N314">
        <v>226009</v>
      </c>
      <c r="O314">
        <v>208422</v>
      </c>
    </row>
    <row r="315" spans="1:15" x14ac:dyDescent="0.3">
      <c r="A315" t="s">
        <v>104</v>
      </c>
      <c r="B315" t="s">
        <v>105</v>
      </c>
      <c r="C315" t="s">
        <v>275</v>
      </c>
      <c r="D315">
        <v>769785</v>
      </c>
      <c r="E315">
        <v>687609</v>
      </c>
      <c r="F315">
        <v>626078</v>
      </c>
      <c r="G315">
        <v>576025</v>
      </c>
      <c r="H315">
        <v>363123</v>
      </c>
      <c r="I315">
        <v>330455</v>
      </c>
      <c r="J315">
        <v>314645</v>
      </c>
      <c r="K315">
        <v>277425</v>
      </c>
      <c r="L315">
        <v>298578</v>
      </c>
      <c r="M315">
        <v>226009</v>
      </c>
      <c r="N315">
        <v>208422</v>
      </c>
      <c r="O315">
        <v>180477</v>
      </c>
    </row>
    <row r="316" spans="1:15" hidden="1" x14ac:dyDescent="0.3">
      <c r="A316" t="s">
        <v>104</v>
      </c>
      <c r="B316" t="s">
        <v>105</v>
      </c>
      <c r="C316" t="s">
        <v>277</v>
      </c>
      <c r="D316">
        <v>341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72595</v>
      </c>
      <c r="M316">
        <v>35</v>
      </c>
      <c r="N316">
        <v>0</v>
      </c>
      <c r="O316">
        <v>0</v>
      </c>
    </row>
    <row r="317" spans="1:15" x14ac:dyDescent="0.3">
      <c r="A317" t="s">
        <v>104</v>
      </c>
      <c r="B317" t="s">
        <v>105</v>
      </c>
      <c r="C317" t="s">
        <v>276</v>
      </c>
      <c r="D317">
        <v>66472</v>
      </c>
      <c r="E317">
        <v>82176</v>
      </c>
      <c r="F317">
        <v>61531</v>
      </c>
      <c r="G317">
        <v>50053</v>
      </c>
      <c r="H317">
        <v>212902</v>
      </c>
      <c r="I317">
        <v>32668</v>
      </c>
      <c r="J317">
        <v>15811</v>
      </c>
      <c r="K317">
        <v>37220</v>
      </c>
      <c r="L317">
        <v>-21153</v>
      </c>
      <c r="M317">
        <v>72569</v>
      </c>
      <c r="N317">
        <v>17587</v>
      </c>
      <c r="O317">
        <v>27945</v>
      </c>
    </row>
    <row r="318" spans="1:15" x14ac:dyDescent="0.3">
      <c r="A318" t="s">
        <v>104</v>
      </c>
      <c r="B318" t="s">
        <v>105</v>
      </c>
      <c r="C318" t="s">
        <v>281</v>
      </c>
      <c r="D318">
        <v>297944</v>
      </c>
      <c r="E318">
        <v>302063</v>
      </c>
      <c r="F318">
        <v>289458</v>
      </c>
      <c r="G318">
        <v>291917</v>
      </c>
      <c r="H318">
        <v>302088</v>
      </c>
      <c r="I318">
        <v>135507</v>
      </c>
      <c r="J318">
        <v>135235</v>
      </c>
      <c r="K318">
        <v>150977</v>
      </c>
      <c r="L318">
        <v>148350</v>
      </c>
      <c r="M318">
        <v>126197</v>
      </c>
      <c r="N318">
        <v>77373</v>
      </c>
      <c r="O318">
        <v>77724</v>
      </c>
    </row>
    <row r="319" spans="1:15" x14ac:dyDescent="0.3">
      <c r="A319" t="s">
        <v>104</v>
      </c>
      <c r="B319" t="s">
        <v>105</v>
      </c>
      <c r="C319" t="s">
        <v>280</v>
      </c>
      <c r="D319">
        <v>302063</v>
      </c>
      <c r="E319">
        <v>289458</v>
      </c>
      <c r="F319">
        <v>291917</v>
      </c>
      <c r="G319">
        <v>302088</v>
      </c>
      <c r="H319">
        <v>135507</v>
      </c>
      <c r="I319">
        <v>135234</v>
      </c>
      <c r="J319">
        <v>150977</v>
      </c>
      <c r="K319">
        <v>148350</v>
      </c>
      <c r="L319">
        <v>126197</v>
      </c>
      <c r="M319">
        <v>77373</v>
      </c>
      <c r="N319">
        <v>77724</v>
      </c>
      <c r="O319">
        <v>69158</v>
      </c>
    </row>
    <row r="320" spans="1:15" x14ac:dyDescent="0.3">
      <c r="A320" t="s">
        <v>104</v>
      </c>
      <c r="B320" t="s">
        <v>105</v>
      </c>
      <c r="C320" t="s">
        <v>284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</row>
    <row r="321" spans="1:15" x14ac:dyDescent="0.3">
      <c r="A321" t="s">
        <v>114</v>
      </c>
      <c r="B321" t="s">
        <v>115</v>
      </c>
      <c r="C321" t="s">
        <v>278</v>
      </c>
      <c r="D321">
        <v>1654758</v>
      </c>
      <c r="E321">
        <v>1498506</v>
      </c>
      <c r="F321">
        <v>1281978</v>
      </c>
      <c r="G321">
        <v>1069637</v>
      </c>
      <c r="H321">
        <v>895519</v>
      </c>
      <c r="I321">
        <v>700183</v>
      </c>
      <c r="J321">
        <v>521333</v>
      </c>
      <c r="K321">
        <v>380897</v>
      </c>
      <c r="L321">
        <v>271554</v>
      </c>
      <c r="M321">
        <v>190556</v>
      </c>
      <c r="N321">
        <v>153628</v>
      </c>
      <c r="O321">
        <v>124575</v>
      </c>
    </row>
    <row r="322" spans="1:15" x14ac:dyDescent="0.3">
      <c r="A322" t="s">
        <v>114</v>
      </c>
      <c r="B322" t="s">
        <v>115</v>
      </c>
      <c r="C322" t="s">
        <v>279</v>
      </c>
      <c r="D322">
        <v>1498506</v>
      </c>
      <c r="E322">
        <v>1281978</v>
      </c>
      <c r="F322">
        <v>1069637</v>
      </c>
      <c r="G322">
        <v>895519</v>
      </c>
      <c r="H322">
        <v>700183</v>
      </c>
      <c r="I322">
        <v>521333</v>
      </c>
      <c r="J322">
        <v>380897</v>
      </c>
      <c r="K322">
        <v>271554</v>
      </c>
      <c r="L322">
        <v>190556</v>
      </c>
      <c r="M322">
        <v>153628</v>
      </c>
      <c r="N322">
        <v>124575</v>
      </c>
      <c r="O322">
        <v>94385</v>
      </c>
    </row>
    <row r="323" spans="1:15" x14ac:dyDescent="0.3">
      <c r="A323" t="s">
        <v>114</v>
      </c>
      <c r="B323" t="s">
        <v>115</v>
      </c>
      <c r="C323" t="s">
        <v>273</v>
      </c>
      <c r="D323">
        <v>156252</v>
      </c>
      <c r="E323">
        <v>216528</v>
      </c>
      <c r="F323">
        <v>212341</v>
      </c>
      <c r="G323">
        <v>174118</v>
      </c>
      <c r="H323">
        <v>195336</v>
      </c>
      <c r="I323">
        <v>178850</v>
      </c>
      <c r="J323">
        <v>140436</v>
      </c>
      <c r="K323">
        <v>109343</v>
      </c>
      <c r="L323">
        <v>80998</v>
      </c>
      <c r="M323">
        <v>36928</v>
      </c>
      <c r="N323">
        <v>29053</v>
      </c>
      <c r="O323">
        <v>30190</v>
      </c>
    </row>
    <row r="324" spans="1:15" hidden="1" x14ac:dyDescent="0.3">
      <c r="A324" t="s">
        <v>114</v>
      </c>
      <c r="B324" t="s">
        <v>115</v>
      </c>
      <c r="C324" t="s">
        <v>282</v>
      </c>
      <c r="D324">
        <v>1158286</v>
      </c>
      <c r="E324">
        <v>809788</v>
      </c>
      <c r="F324">
        <v>688966</v>
      </c>
      <c r="G324">
        <v>535647</v>
      </c>
      <c r="H324">
        <v>440184</v>
      </c>
      <c r="I324">
        <v>257826</v>
      </c>
      <c r="J324">
        <v>194190</v>
      </c>
      <c r="K324">
        <v>165400</v>
      </c>
      <c r="L324">
        <v>137275</v>
      </c>
      <c r="M324">
        <v>79464</v>
      </c>
      <c r="N324">
        <v>78426</v>
      </c>
      <c r="O324">
        <v>0</v>
      </c>
    </row>
    <row r="325" spans="1:15" x14ac:dyDescent="0.3">
      <c r="A325" t="s">
        <v>114</v>
      </c>
      <c r="B325" t="s">
        <v>115</v>
      </c>
      <c r="C325" t="s">
        <v>274</v>
      </c>
      <c r="D325">
        <v>2158054</v>
      </c>
      <c r="E325">
        <v>2021064</v>
      </c>
      <c r="F325">
        <v>1843421</v>
      </c>
      <c r="G325">
        <v>1644396</v>
      </c>
      <c r="H325">
        <v>1487276</v>
      </c>
      <c r="I325">
        <v>1286591</v>
      </c>
      <c r="J325">
        <v>1033336</v>
      </c>
      <c r="K325">
        <v>890142</v>
      </c>
      <c r="L325">
        <v>554079</v>
      </c>
      <c r="M325">
        <v>323702</v>
      </c>
      <c r="N325">
        <v>248925</v>
      </c>
      <c r="O325">
        <v>224353</v>
      </c>
    </row>
    <row r="326" spans="1:15" x14ac:dyDescent="0.3">
      <c r="A326" t="s">
        <v>114</v>
      </c>
      <c r="B326" t="s">
        <v>115</v>
      </c>
      <c r="C326" t="s">
        <v>275</v>
      </c>
      <c r="D326">
        <v>2021064</v>
      </c>
      <c r="E326">
        <v>1843421</v>
      </c>
      <c r="F326">
        <v>1644396</v>
      </c>
      <c r="G326">
        <v>1487276</v>
      </c>
      <c r="H326">
        <v>1286591</v>
      </c>
      <c r="I326">
        <v>1033336</v>
      </c>
      <c r="J326">
        <v>890142</v>
      </c>
      <c r="K326">
        <v>554079</v>
      </c>
      <c r="L326">
        <v>323702</v>
      </c>
      <c r="M326">
        <v>248925</v>
      </c>
      <c r="N326">
        <v>224353</v>
      </c>
      <c r="O326">
        <v>180074</v>
      </c>
    </row>
    <row r="327" spans="1:15" hidden="1" x14ac:dyDescent="0.3">
      <c r="A327" t="s">
        <v>114</v>
      </c>
      <c r="B327" t="s">
        <v>115</v>
      </c>
      <c r="C327" t="s">
        <v>277</v>
      </c>
      <c r="D327">
        <v>29037</v>
      </c>
      <c r="E327">
        <v>0</v>
      </c>
      <c r="F327">
        <v>0</v>
      </c>
      <c r="G327">
        <v>100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</row>
    <row r="328" spans="1:15" x14ac:dyDescent="0.3">
      <c r="A328" t="s">
        <v>114</v>
      </c>
      <c r="B328" t="s">
        <v>115</v>
      </c>
      <c r="C328" t="s">
        <v>276</v>
      </c>
      <c r="D328">
        <v>136990</v>
      </c>
      <c r="E328">
        <v>177643</v>
      </c>
      <c r="F328">
        <v>199025</v>
      </c>
      <c r="G328">
        <v>157120</v>
      </c>
      <c r="H328">
        <v>200685</v>
      </c>
      <c r="I328">
        <v>253255</v>
      </c>
      <c r="J328">
        <v>143194</v>
      </c>
      <c r="K328">
        <v>336063</v>
      </c>
      <c r="L328">
        <v>230377</v>
      </c>
      <c r="M328">
        <v>74777</v>
      </c>
      <c r="N328">
        <v>24572</v>
      </c>
      <c r="O328">
        <v>44279</v>
      </c>
    </row>
    <row r="329" spans="1:15" x14ac:dyDescent="0.3">
      <c r="A329" t="s">
        <v>114</v>
      </c>
      <c r="B329" t="s">
        <v>115</v>
      </c>
      <c r="C329" t="s">
        <v>281</v>
      </c>
      <c r="D329">
        <v>503296</v>
      </c>
      <c r="E329">
        <v>522558</v>
      </c>
      <c r="F329">
        <v>561443</v>
      </c>
      <c r="G329">
        <v>574759</v>
      </c>
      <c r="H329">
        <v>591757</v>
      </c>
      <c r="I329">
        <v>586408</v>
      </c>
      <c r="J329">
        <v>512003</v>
      </c>
      <c r="K329">
        <v>509245</v>
      </c>
      <c r="L329">
        <v>282525</v>
      </c>
      <c r="M329">
        <v>133146</v>
      </c>
      <c r="N329">
        <v>95297</v>
      </c>
      <c r="O329">
        <v>99778</v>
      </c>
    </row>
    <row r="330" spans="1:15" x14ac:dyDescent="0.3">
      <c r="A330" t="s">
        <v>114</v>
      </c>
      <c r="B330" t="s">
        <v>115</v>
      </c>
      <c r="C330" t="s">
        <v>280</v>
      </c>
      <c r="D330">
        <v>522558</v>
      </c>
      <c r="E330">
        <v>561443</v>
      </c>
      <c r="F330">
        <v>574759</v>
      </c>
      <c r="G330">
        <v>591757</v>
      </c>
      <c r="H330">
        <v>586408</v>
      </c>
      <c r="I330">
        <v>512003</v>
      </c>
      <c r="J330">
        <v>509245</v>
      </c>
      <c r="K330">
        <v>282525</v>
      </c>
      <c r="L330">
        <v>133146</v>
      </c>
      <c r="M330">
        <v>95297</v>
      </c>
      <c r="N330">
        <v>99778</v>
      </c>
      <c r="O330">
        <v>85689</v>
      </c>
    </row>
    <row r="331" spans="1:15" x14ac:dyDescent="0.3">
      <c r="A331" t="s">
        <v>114</v>
      </c>
      <c r="B331" t="s">
        <v>115</v>
      </c>
      <c r="C331" t="s">
        <v>284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</row>
    <row r="332" spans="1:15" x14ac:dyDescent="0.3">
      <c r="A332" t="s">
        <v>283</v>
      </c>
      <c r="O332">
        <f>SUBTOTAL(109,Table3_16[2014])</f>
        <v>11724109</v>
      </c>
    </row>
  </sheetData>
  <pageMargins left="0.7" right="0.7" top="0.75" bottom="0.75" header="0.3" footer="0.3"/>
  <legacy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855A672-B2A9-4F81-BAE8-F52379D9E85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Chỉ số điểm giao dịch của ngân </vt:lpstr>
      <vt:lpstr>dự phòng</vt:lpstr>
      <vt:lpstr>dự phòng số hóa</vt:lpstr>
      <vt:lpstr>Quyền sử dụng đất</vt:lpstr>
      <vt:lpstr>Phần mềm máy vi tính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Cuong Viet</dc:creator>
  <cp:lastModifiedBy>Cuong Viet</cp:lastModifiedBy>
  <dcterms:created xsi:type="dcterms:W3CDTF">2026-08-27T02:19:38Z</dcterms:created>
  <dcterms:modified xsi:type="dcterms:W3CDTF">2026-09-17T12:20:06Z</dcterms:modified>
</cp:coreProperties>
</file>